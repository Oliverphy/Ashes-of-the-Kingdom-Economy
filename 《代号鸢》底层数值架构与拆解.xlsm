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64873364f6590ed/"/>
    </mc:Choice>
  </mc:AlternateContent>
  <xr:revisionPtr revIDLastSave="21" documentId="8_{A865E1D1-C92A-46BF-9496-B5E417061250}" xr6:coauthVersionLast="47" xr6:coauthVersionMax="47" xr10:uidLastSave="{3E7ADD89-BF9D-4906-BD36-84CF2750FC62}"/>
  <bookViews>
    <workbookView xWindow="-120" yWindow="-120" windowWidth="29040" windowHeight="15840" xr2:uid="{BE270774-F048-46AC-B0CA-9B477599AD49}"/>
  </bookViews>
  <sheets>
    <sheet name="抽卡模拟器" sheetId="1" r:id="rId1"/>
    <sheet name="抽卡期望与商业化模型" sheetId="9" r:id="rId2"/>
    <sheet name="商业化深度与定价拆解" sheetId="7" r:id="rId3"/>
    <sheet name="养成总盘计算" sheetId="13" r:id="rId4"/>
    <sheet name="密探养成基础数据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3" l="1"/>
  <c r="B4" i="13"/>
  <c r="C25" i="13"/>
  <c r="B25" i="13"/>
  <c r="C24" i="13"/>
  <c r="B24" i="13"/>
  <c r="C23" i="13"/>
  <c r="B23" i="13"/>
  <c r="C22" i="13"/>
  <c r="B22" i="13"/>
  <c r="C21" i="13"/>
  <c r="B21" i="13"/>
  <c r="C20" i="13"/>
  <c r="B20" i="13"/>
  <c r="C19" i="13"/>
  <c r="B19" i="13"/>
  <c r="B6" i="13"/>
  <c r="B3" i="13"/>
  <c r="B20" i="9"/>
  <c r="B19" i="9"/>
  <c r="B18" i="9"/>
  <c r="B15" i="9"/>
  <c r="B14" i="9"/>
  <c r="B13" i="9"/>
  <c r="B12" i="9"/>
  <c r="B11" i="9"/>
  <c r="D18" i="7"/>
  <c r="D19" i="7"/>
  <c r="D20" i="7"/>
  <c r="D21" i="7"/>
  <c r="C3" i="7"/>
  <c r="D3" i="7" s="1"/>
  <c r="C4" i="7"/>
  <c r="D4" i="7" s="1"/>
  <c r="C5" i="7"/>
  <c r="D5" i="7"/>
  <c r="C6" i="7"/>
  <c r="D6" i="7"/>
  <c r="C7" i="7"/>
  <c r="D7" i="7" s="1"/>
  <c r="C8" i="7"/>
  <c r="D8" i="7"/>
  <c r="C9" i="7"/>
  <c r="D9" i="7"/>
  <c r="C10" i="7"/>
  <c r="D10" i="7" s="1"/>
  <c r="C11" i="7"/>
  <c r="D11" i="7" s="1"/>
  <c r="C12" i="7"/>
  <c r="D12" i="7" s="1"/>
</calcChain>
</file>

<file path=xl/sharedStrings.xml><?xml version="1.0" encoding="utf-8"?>
<sst xmlns="http://schemas.openxmlformats.org/spreadsheetml/2006/main" count="1034" uniqueCount="350">
  <si>
    <t>公孙珊</t>
  </si>
  <si>
    <t>王异</t>
  </si>
  <si>
    <t>陆绩</t>
  </si>
  <si>
    <t>史子眇</t>
  </si>
  <si>
    <t>阿蝉</t>
  </si>
  <si>
    <t>颜良</t>
  </si>
  <si>
    <t>许攸</t>
  </si>
  <si>
    <t>蜂使</t>
  </si>
  <si>
    <t>杨阜</t>
  </si>
  <si>
    <t>李真</t>
  </si>
  <si>
    <t>徐稺</t>
  </si>
  <si>
    <t>楼班</t>
  </si>
  <si>
    <t>李脱</t>
  </si>
  <si>
    <t>毛玠</t>
  </si>
  <si>
    <t>周群</t>
  </si>
  <si>
    <t>第五天</t>
  </si>
  <si>
    <t>眭固</t>
  </si>
  <si>
    <t>雀使</t>
  </si>
  <si>
    <t>山九</t>
  </si>
  <si>
    <t>高览</t>
  </si>
  <si>
    <t>伍丹</t>
  </si>
  <si>
    <t>崔烈</t>
  </si>
  <si>
    <t>鸢使</t>
  </si>
  <si>
    <t>甘缇</t>
  </si>
  <si>
    <t>关靖</t>
  </si>
  <si>
    <t>严颜</t>
  </si>
  <si>
    <t>蛾使</t>
  </si>
  <si>
    <t>庞德</t>
  </si>
  <si>
    <t>总抽数</t>
  </si>
  <si>
    <t>获得卡牌</t>
  </si>
  <si>
    <t>稀有度</t>
  </si>
  <si>
    <t>大保底状态</t>
  </si>
  <si>
    <t>使用模型</t>
  </si>
  <si>
    <t>隐密 (R)</t>
  </si>
  <si>
    <t>-</t>
  </si>
  <si>
    <t>无</t>
  </si>
  <si>
    <t>实际(软保底)</t>
  </si>
  <si>
    <t>机密 (SR)</t>
  </si>
  <si>
    <t>出金清零!</t>
  </si>
  <si>
    <t>绝密 (SSR)</t>
  </si>
  <si>
    <t>是 (限时)</t>
  </si>
  <si>
    <t>否 (歪常驻)</t>
  </si>
  <si>
    <t>下只必出UP</t>
  </si>
  <si>
    <t>是否限时UP</t>
  </si>
  <si>
    <t>距上次出金</t>
  </si>
  <si>
    <t>当前金水位</t>
  </si>
  <si>
    <t>出金序号</t>
  </si>
  <si>
    <t>密探姓名</t>
  </si>
  <si>
    <t>类型</t>
  </si>
  <si>
    <t>消耗抽数</t>
  </si>
  <si>
    <t>一览</t>
  </si>
  <si>
    <t>本期UP角色数量</t>
  </si>
  <si>
    <t>3星</t>
  </si>
  <si>
    <t>3星满节点</t>
  </si>
  <si>
    <t>4星 1节点</t>
  </si>
  <si>
    <t>4星 3节点</t>
  </si>
  <si>
    <t>4星满节点</t>
  </si>
  <si>
    <t>【模块一：角色养成周期与付费深度 (Paywall) 拆解】</t>
  </si>
  <si>
    <t>养成生命周期 (Milestone)</t>
  </si>
  <si>
    <t>累计消耗同名卡</t>
  </si>
  <si>
    <t>模型期望抽卡数</t>
  </si>
  <si>
    <t>无折扣等效价值(RMB)</t>
  </si>
  <si>
    <t>系统设计目的与商业化逻辑解析</t>
  </si>
  <si>
    <t>1星 (首获本体)</t>
  </si>
  <si>
    <t>破冰期：解锁图鉴与基础机制，建立玩家初始沉没成本。</t>
  </si>
  <si>
    <t>2星 (关键天赋解锁)</t>
  </si>
  <si>
    <t>核心质变点：利用高额强度增幅，刺激中小R玩家进行首轮复购。</t>
  </si>
  <si>
    <t>平滑期：数值平滑过渡区间。</t>
  </si>
  <si>
    <t>碎片化系统介入：引入“吃卡不升星”机制，拉长养成纵深。</t>
  </si>
  <si>
    <t>沉没成本深化区。</t>
  </si>
  <si>
    <t>竞品对标点：同类游戏(如米哈游系)的满命阈值，本项目仅达到中后期。</t>
  </si>
  <si>
    <t>5星 (质变)</t>
  </si>
  <si>
    <t>次核心质变点：大幅数值膨胀，筛选中高R用户。</t>
  </si>
  <si>
    <t>5星 80碎片 (阈值前置)</t>
  </si>
  <si>
    <t>活跃留存转化点：利用边际效用递减，将剩余养成缺口转化为游戏内活跃时长(刷传闻)。</t>
  </si>
  <si>
    <t>觉醒 (满级溢出)</t>
  </si>
  <si>
    <t>鲸鱼用户(Whale)专属区间：通过溢出机制极化付费深度，拉高单用户ARPPU上限。</t>
  </si>
  <si>
    <t>? 数据推演结论：基于大数定律，满觉醒双UP卡池预期消耗约 880 抽（无折扣价值约 ￥17,600）。相比传统6命卡牌，其ARPU天花板被拉长约 40%。</t>
  </si>
  <si>
    <t>【模块二：商城礼包矩阵 (Pack Matrix) 与定价锚点拆解】</t>
  </si>
  <si>
    <t>SKU / 礼包类型</t>
  </si>
  <si>
    <t>标价 (USD)</t>
  </si>
  <si>
    <t>折合抽卡资源</t>
  </si>
  <si>
    <t>单位抽卡成本</t>
  </si>
  <si>
    <t>礼包定位与商业化策略拆解</t>
  </si>
  <si>
    <t>基准线 (Base Rate)</t>
  </si>
  <si>
    <t>无折扣参照物：主要作用为提供“价格锚点(Price Anchor)”，衬托礼包性价比。</t>
  </si>
  <si>
    <t>破冰包 (图2 超值包)</t>
  </si>
  <si>
    <t>低门槛引流：极致让利(约1.5折)，旨在打破零氪壁垒，拉升游戏整体付费渗透率(PR)。</t>
  </si>
  <si>
    <t>中量级礼包 (图1 中级包)</t>
  </si>
  <si>
    <t>主力流水支撑：单抽折扣适中($1.42)，搭售体力资源，主打核心活跃用户的稳定复购。</t>
  </si>
  <si>
    <t>交叉诱导包 (图3 混搭包)</t>
  </si>
  <si>
    <t>资源标价混淆：单抽溢价严重($3.33)。利用体力的高标价掩盖抽卡的低折率，作为筛选非理性消费的对照组。</t>
  </si>
  <si>
    <t>【一、基础参数】</t>
  </si>
  <si>
    <t>单抽价格(白金币)</t>
  </si>
  <si>
    <t>人民币折算(元/抽)</t>
  </si>
  <si>
    <t>以常规10:1比例估算</t>
  </si>
  <si>
    <t>常驻基础出金率</t>
  </si>
  <si>
    <t>硬保底抽数</t>
  </si>
  <si>
    <t>软保底递增起点</t>
  </si>
  <si>
    <t>底层核心机制：第35抽开始概率陡增</t>
  </si>
  <si>
    <t>综合大/小保底UP率</t>
  </si>
  <si>
    <t>双UP池毒点所在</t>
  </si>
  <si>
    <t>【二、概率论期望推演】</t>
  </si>
  <si>
    <t>单金综合期望抽数</t>
  </si>
  <si>
    <t>★ 大数定律：综合概率(3%)的倒数就是绝对期望</t>
  </si>
  <si>
    <t>单金综合概率</t>
  </si>
  <si>
    <t>强捞特定UP期望金数</t>
  </si>
  <si>
    <t>强捞特定UP期望抽数</t>
  </si>
  <si>
    <t>【三、商业化价值锚点(RMB)】</t>
  </si>
  <si>
    <t>随便出一个金的造价</t>
  </si>
  <si>
    <t>特定UP出货率(等效概率)</t>
  </si>
  <si>
    <t>★ 马尔可夫稳态化简极值公式：1 ÷ [UP角色数 × (2 - 总UP率)]</t>
  </si>
  <si>
    <t>代入上述公式求导结果：2 × (2 - 0.8) = 正好 2.4 个金！</t>
  </si>
  <si>
    <t>数学期望：80抽必拿目标单卡</t>
  </si>
  <si>
    <t>= 单金期望抽数 × 20元</t>
  </si>
  <si>
    <t>抽出一张特定UP的造价</t>
  </si>
  <si>
    <t>= 特定UP期望抽数 × 20元 (★游戏内礼包价值锚点)</t>
  </si>
  <si>
    <t>特定UP满星(觉醒)造价</t>
  </si>
  <si>
    <t>= 特定UP单卡造价 × 10张碎片节点理论值</t>
  </si>
  <si>
    <t>官方综合3%反推得出的真实单抽底线概率</t>
    <phoneticPr fontId="1" type="noConversion"/>
  </si>
  <si>
    <t>所需经验</t>
  </si>
  <si>
    <t>升级</t>
  </si>
  <si>
    <t>1&gt;&gt;2</t>
  </si>
  <si>
    <t>2&gt;&gt;3</t>
  </si>
  <si>
    <t>3&gt;&gt;4</t>
  </si>
  <si>
    <t>4&gt;&gt;5</t>
  </si>
  <si>
    <t>5&gt;&gt;6</t>
  </si>
  <si>
    <t>6&gt;&gt;7</t>
  </si>
  <si>
    <t>7&gt;&gt;8</t>
  </si>
  <si>
    <t>8&gt;&gt;9</t>
  </si>
  <si>
    <t>9&gt;&gt;10</t>
  </si>
  <si>
    <t>10&gt;&gt;11</t>
  </si>
  <si>
    <t>11&gt;&gt;12</t>
  </si>
  <si>
    <t>12&gt;&gt;13</t>
  </si>
  <si>
    <t>13&gt;&gt;14</t>
  </si>
  <si>
    <t>14&gt;&gt;15</t>
  </si>
  <si>
    <t>15&gt;&gt;16</t>
  </si>
  <si>
    <t>16&gt;&gt;17</t>
  </si>
  <si>
    <t>17&gt;&gt;18</t>
  </si>
  <si>
    <t>18&gt;&gt;19</t>
  </si>
  <si>
    <t>19&gt;&gt;20</t>
  </si>
  <si>
    <t>20&gt;&gt;21</t>
  </si>
  <si>
    <t>21&gt;&gt;22</t>
  </si>
  <si>
    <t>22&gt;&gt;23</t>
  </si>
  <si>
    <t>23&gt;&gt;24</t>
  </si>
  <si>
    <t>24&gt;&gt;25</t>
  </si>
  <si>
    <t>25&gt;&gt;26</t>
  </si>
  <si>
    <t>26&gt;&gt;27</t>
  </si>
  <si>
    <t>27&gt;&gt;28</t>
  </si>
  <si>
    <t>28&gt;&gt;29</t>
  </si>
  <si>
    <t>29&gt;&gt;30</t>
  </si>
  <si>
    <t>30&gt;&gt;31</t>
  </si>
  <si>
    <t>31&gt;&gt;32</t>
  </si>
  <si>
    <t>32&gt;&gt;33</t>
  </si>
  <si>
    <t>33&gt;&gt;34</t>
  </si>
  <si>
    <t>34&gt;&gt;35</t>
  </si>
  <si>
    <t>35&gt;&gt;36</t>
  </si>
  <si>
    <t>36&gt;&gt;37</t>
  </si>
  <si>
    <t>37&gt;&gt;38</t>
  </si>
  <si>
    <t>38&gt;&gt;39</t>
  </si>
  <si>
    <t>39&gt;&gt;40</t>
  </si>
  <si>
    <t>40&gt;&gt;41</t>
  </si>
  <si>
    <t>41&gt;&gt;42</t>
  </si>
  <si>
    <t>42&gt;&gt;43</t>
  </si>
  <si>
    <t>43&gt;&gt;44</t>
  </si>
  <si>
    <t>44&gt;&gt;45</t>
  </si>
  <si>
    <t>45&gt;&gt;46</t>
  </si>
  <si>
    <t>46&gt;&gt;47</t>
  </si>
  <si>
    <t>47&gt;&gt;48</t>
  </si>
  <si>
    <t>48&gt;&gt;49</t>
  </si>
  <si>
    <t>49&gt;&gt;50</t>
  </si>
  <si>
    <t>50&gt;&gt;51</t>
  </si>
  <si>
    <t>51&gt;&gt;52</t>
  </si>
  <si>
    <t>52&gt;&gt;53</t>
  </si>
  <si>
    <t>53&gt;&gt;54</t>
  </si>
  <si>
    <t>54&gt;&gt;55</t>
  </si>
  <si>
    <t>55&gt;&gt;56</t>
  </si>
  <si>
    <t>56&gt;&gt;57</t>
  </si>
  <si>
    <t>57&gt;&gt;58</t>
  </si>
  <si>
    <t>58&gt;&gt;59</t>
  </si>
  <si>
    <t>59&gt;&gt;60</t>
  </si>
  <si>
    <t>60&gt;&gt;61</t>
  </si>
  <si>
    <t>61&gt;&gt;62</t>
  </si>
  <si>
    <t>62&gt;&gt;63</t>
  </si>
  <si>
    <t>63&gt;&gt;64</t>
  </si>
  <si>
    <t>64&gt;&gt;65</t>
  </si>
  <si>
    <t>65&gt;&gt;66</t>
  </si>
  <si>
    <t>66&gt;&gt;67</t>
  </si>
  <si>
    <t>67&gt;&gt;68</t>
  </si>
  <si>
    <t>68&gt;&gt;69</t>
  </si>
  <si>
    <t>69&gt;&gt;70</t>
  </si>
  <si>
    <t>70&gt;&gt;71</t>
  </si>
  <si>
    <t>71&gt;&gt;72</t>
  </si>
  <si>
    <t>72&gt;&gt;73</t>
  </si>
  <si>
    <t>73&gt;&gt;74</t>
  </si>
  <si>
    <t>74&gt;&gt;75</t>
  </si>
  <si>
    <t>75&gt;&gt;76</t>
  </si>
  <si>
    <t>76&gt;&gt;77</t>
  </si>
  <si>
    <t>77&gt;&gt;78</t>
  </si>
  <si>
    <t>78&gt;&gt;79</t>
  </si>
  <si>
    <t>79&gt;&gt;80</t>
  </si>
  <si>
    <t>80&gt;&gt;81</t>
  </si>
  <si>
    <t>81&gt;&gt;82</t>
  </si>
  <si>
    <t>82&gt;&gt;83</t>
  </si>
  <si>
    <t>83&gt;&gt;84</t>
  </si>
  <si>
    <t>84&gt;&gt;85</t>
  </si>
  <si>
    <t>85&gt;&gt;86</t>
  </si>
  <si>
    <t>86&gt;&gt;87</t>
  </si>
  <si>
    <t>87&gt;&gt;88</t>
  </si>
  <si>
    <t>88&gt;&gt;89</t>
  </si>
  <si>
    <t>89&gt;&gt;90</t>
  </si>
  <si>
    <t>90&gt;&gt;91</t>
  </si>
  <si>
    <t>91&gt;&gt;92</t>
  </si>
  <si>
    <t>92&gt;&gt;93</t>
  </si>
  <si>
    <t>93&gt;&gt;94</t>
  </si>
  <si>
    <t>94&gt;&gt;95</t>
  </si>
  <si>
    <t>95&gt;&gt;96</t>
  </si>
  <si>
    <t>96&gt;&gt;97</t>
  </si>
  <si>
    <t>97&gt;&gt;98</t>
  </si>
  <si>
    <t>98&gt;&gt;99</t>
  </si>
  <si>
    <t>99&gt;&gt;100</t>
  </si>
  <si>
    <t>开启条件</t>
  </si>
  <si>
    <t>等级上限突破</t>
  </si>
  <si>
    <t>修为提升</t>
  </si>
  <si>
    <t>密探等级1</t>
  </si>
  <si>
    <t>修为1</t>
  </si>
  <si>
    <t>密探等级10</t>
  </si>
  <si>
    <t>修为2</t>
  </si>
  <si>
    <t>密探等级15</t>
  </si>
  <si>
    <t>修为3</t>
  </si>
  <si>
    <t>密探等级30</t>
  </si>
  <si>
    <t>修为4</t>
  </si>
  <si>
    <t>密探等级40</t>
  </si>
  <si>
    <t>修为5</t>
  </si>
  <si>
    <t>密探等级45</t>
  </si>
  <si>
    <t>修为6</t>
  </si>
  <si>
    <t>密探等级50</t>
  </si>
  <si>
    <t>修为7</t>
  </si>
  <si>
    <t>密探等级55</t>
  </si>
  <si>
    <t>修为8</t>
  </si>
  <si>
    <t>密探等级60</t>
  </si>
  <si>
    <t>修为9</t>
  </si>
  <si>
    <t>密探等级65</t>
  </si>
  <si>
    <t>修为10</t>
  </si>
  <si>
    <t>密探等级70</t>
  </si>
  <si>
    <t>修为11</t>
  </si>
  <si>
    <t>密探等级75</t>
  </si>
  <si>
    <t>修为12</t>
  </si>
  <si>
    <t>密探等级80</t>
  </si>
  <si>
    <t>修为13</t>
  </si>
  <si>
    <t>密探等级85</t>
  </si>
  <si>
    <t>修为14</t>
  </si>
  <si>
    <t>密探等级90</t>
  </si>
  <si>
    <t>修为15</t>
  </si>
  <si>
    <t>密探等级95</t>
  </si>
  <si>
    <t>修为16</t>
  </si>
  <si>
    <t>密探等级100</t>
  </si>
  <si>
    <t>修为17</t>
  </si>
  <si>
    <t>文丑</t>
  </si>
  <si>
    <t>庞德 (35抽)</t>
  </si>
  <si>
    <t>蒯越</t>
  </si>
  <si>
    <t>蒯越 (38抽)</t>
  </si>
  <si>
    <t>庞德 (9抽)</t>
  </si>
  <si>
    <t>五铢钱</t>
  </si>
  <si>
    <t>金币种类</t>
    <phoneticPr fontId="1" type="noConversion"/>
  </si>
  <si>
    <t>消耗金币数量</t>
  </si>
  <si>
    <t>材料1种类</t>
    <phoneticPr fontId="1" type="noConversion"/>
  </si>
  <si>
    <t>材料1数量</t>
    <phoneticPr fontId="1" type="noConversion"/>
  </si>
  <si>
    <t>材料2种类</t>
  </si>
  <si>
    <t>材料2数量</t>
  </si>
  <si>
    <t>材料3种类</t>
  </si>
  <si>
    <t>材料3数量</t>
  </si>
  <si>
    <t>材料4种类</t>
  </si>
  <si>
    <t>材料4数量</t>
  </si>
  <si>
    <t>材料5种类</t>
  </si>
  <si>
    <t>材料5数量</t>
  </si>
  <si>
    <t>材料6种类</t>
  </si>
  <si>
    <t>材料6数量</t>
  </si>
  <si>
    <t>材料7种类</t>
  </si>
  <si>
    <t>材料7数量</t>
  </si>
  <si>
    <t>铁胎弓/彩纹盾/震天鼓/青铜刀/梦魂兰</t>
    <phoneticPr fontId="1" type="noConversion"/>
  </si>
  <si>
    <t>犀角弓/玉龟盾/蟠龙鼓/银纹刀/府君海棠</t>
    <phoneticPr fontId="1" type="noConversion"/>
  </si>
  <si>
    <t>材料8种类</t>
  </si>
  <si>
    <t>材料8数量</t>
  </si>
  <si>
    <t>材料9种类</t>
  </si>
  <si>
    <t>材料9数量</t>
  </si>
  <si>
    <t>材料10种类</t>
  </si>
  <si>
    <t>材料10数量</t>
  </si>
  <si>
    <t>蜻蜓眼</t>
    <phoneticPr fontId="1" type="noConversion"/>
  </si>
  <si>
    <t>爵位等级1</t>
    <phoneticPr fontId="1" type="noConversion"/>
  </si>
  <si>
    <t>爵位等级8</t>
    <phoneticPr fontId="1" type="noConversion"/>
  </si>
  <si>
    <t>爵位等级12</t>
    <phoneticPr fontId="1" type="noConversion"/>
  </si>
  <si>
    <t>爵位等级25</t>
    <phoneticPr fontId="1" type="noConversion"/>
  </si>
  <si>
    <t>爵位等级35</t>
    <phoneticPr fontId="1" type="noConversion"/>
  </si>
  <si>
    <t>爵位等级46</t>
    <phoneticPr fontId="1" type="noConversion"/>
  </si>
  <si>
    <t>爵位等级55</t>
    <phoneticPr fontId="1" type="noConversion"/>
  </si>
  <si>
    <t>爵位等级61</t>
    <phoneticPr fontId="1" type="noConversion"/>
  </si>
  <si>
    <t>爵位等级70</t>
    <phoneticPr fontId="1" type="noConversion"/>
  </si>
  <si>
    <t>10&gt;&gt;20</t>
    <phoneticPr fontId="1" type="noConversion"/>
  </si>
  <si>
    <t>20&gt;&gt;30</t>
    <phoneticPr fontId="1" type="noConversion"/>
  </si>
  <si>
    <t>30&gt;&gt;40</t>
    <phoneticPr fontId="1" type="noConversion"/>
  </si>
  <si>
    <t>40&gt;&gt;50</t>
    <phoneticPr fontId="1" type="noConversion"/>
  </si>
  <si>
    <t>50&gt;&gt;60</t>
    <phoneticPr fontId="1" type="noConversion"/>
  </si>
  <si>
    <t>60&gt;&gt;70</t>
    <phoneticPr fontId="1" type="noConversion"/>
  </si>
  <si>
    <t>70&gt;&gt;80</t>
    <phoneticPr fontId="1" type="noConversion"/>
  </si>
  <si>
    <t>80&gt;&gt;90</t>
    <phoneticPr fontId="1" type="noConversion"/>
  </si>
  <si>
    <t>90&gt;&gt;100</t>
    <phoneticPr fontId="1" type="noConversion"/>
  </si>
  <si>
    <t>五铢钱</t>
    <phoneticPr fontId="1" type="noConversion"/>
  </si>
  <si>
    <t>蒹葭</t>
    <phoneticPr fontId="1" type="noConversion"/>
  </si>
  <si>
    <t>鸢羽</t>
    <phoneticPr fontId="1" type="noConversion"/>
  </si>
  <si>
    <t>低光荷</t>
    <phoneticPr fontId="1" type="noConversion"/>
  </si>
  <si>
    <t>醉骨草</t>
    <phoneticPr fontId="1" type="noConversion"/>
  </si>
  <si>
    <t>金错刀</t>
    <phoneticPr fontId="1" type="noConversion"/>
  </si>
  <si>
    <t>瑛琼瑶</t>
    <phoneticPr fontId="1" type="noConversion"/>
  </si>
  <si>
    <t>紫云英</t>
    <phoneticPr fontId="1" type="noConversion"/>
  </si>
  <si>
    <t>绢扇/浊酒/铜镜</t>
    <phoneticPr fontId="1" type="noConversion"/>
  </si>
  <si>
    <t>翠扇/清酒/六博镜</t>
    <phoneticPr fontId="1" type="noConversion"/>
  </si>
  <si>
    <t>金丝扇/百末旨酒/鎏金镜</t>
    <phoneticPr fontId="1" type="noConversion"/>
  </si>
  <si>
    <t>羽扇/灵山泉/宝石镜</t>
    <phoneticPr fontId="1" type="noConversion"/>
  </si>
  <si>
    <t>仙门扇/霸王泪/水镜</t>
    <phoneticPr fontId="1" type="noConversion"/>
  </si>
  <si>
    <t>悲回风扇/木兰坠露/星汉镜</t>
    <phoneticPr fontId="1" type="noConversion"/>
  </si>
  <si>
    <t>消耗金币数量</t>
    <phoneticPr fontId="1" type="noConversion"/>
  </si>
  <si>
    <t>【一、底层数据汇总（自动从基础表抓取）】</t>
  </si>
  <si>
    <t>统计维度</t>
  </si>
  <si>
    <t>计算结果</t>
  </si>
  <si>
    <t>1-100级总经验</t>
  </si>
  <si>
    <t>突破消耗总五铢钱</t>
  </si>
  <si>
    <t>修为消耗总五铢钱</t>
  </si>
  <si>
    <t>单角色满配总五铢钱</t>
  </si>
  <si>
    <t>【二、全局参数控制台（策划调参区）】</t>
  </si>
  <si>
    <t>参数名称</t>
  </si>
  <si>
    <t>零氪 (F2P)</t>
  </si>
  <si>
    <t>昭阳/月卡 (MC)</t>
  </si>
  <si>
    <t>日均总可用体力</t>
  </si>
  <si>
    <t>经验历练每日次数上限</t>
  </si>
  <si>
    <t>绝境历练单次经验产出</t>
  </si>
  <si>
    <t>历练单次消耗体力</t>
  </si>
  <si>
    <t>洛阳派遣日耗体力(24H满)</t>
  </si>
  <si>
    <t>核心材料等效体力期望</t>
  </si>
  <si>
    <t>【三、毕业天数推演大盘（核心结论）】</t>
  </si>
  <si>
    <t>推演项目</t>
  </si>
  <si>
    <t>零氪结论</t>
  </si>
  <si>
    <t>月卡结论</t>
  </si>
  <si>
    <t>单日极限经验产出</t>
  </si>
  <si>
    <t>纯经验卡点天数（硬控）</t>
  </si>
  <si>
    <t>卡点期内累积总体力</t>
  </si>
  <si>
    <t>扣除：打经验本必耗体力</t>
  </si>
  <si>
    <t>扣除：维持鸢报必耗体力</t>
  </si>
  <si>
    <t>实际盈余刷材料体力</t>
  </si>
  <si>
    <t>刷材料体力盈余/缺口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</si>
</sst>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\￥#,##0.00"/>
    <numFmt numFmtId="177" formatCode="0\ &quot;抽&quot;"/>
    <numFmt numFmtId="178" formatCode="\￥#,##0"/>
    <numFmt numFmtId="179" formatCode="&quot;¥&quot;0.00"/>
    <numFmt numFmtId="180" formatCode="&quot;¥&quot;0.00\ &quot;/抽&quot;"/>
    <numFmt numFmtId="181" formatCode="0.00\ &quot;天&quot;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DC143C"/>
      <name val="等线"/>
      <family val="3"/>
      <charset val="134"/>
      <scheme val="minor"/>
    </font>
    <font>
      <sz val="11"/>
      <color rgb="FF505050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11"/>
      <color rgb="FF323232"/>
      <name val="等线"/>
      <family val="3"/>
      <charset val="134"/>
      <scheme val="minor"/>
    </font>
    <font>
      <i/>
      <sz val="11"/>
      <color rgb="FF646464"/>
      <name val="等线"/>
      <family val="3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等线"/>
      <family val="3"/>
      <charset val="134"/>
    </font>
    <font>
      <b/>
      <sz val="11"/>
      <color rgb="FFC0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232D41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10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0" fontId="2" fillId="7" borderId="1" xfId="0" applyFont="1" applyFill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1" fontId="0" fillId="0" borderId="0" xfId="0" applyNumberFormat="1">
      <alignment vertical="center"/>
    </xf>
    <xf numFmtId="176" fontId="4" fillId="0" borderId="0" xfId="0" applyNumberFormat="1" applyFont="1">
      <alignment vertical="center"/>
    </xf>
    <xf numFmtId="0" fontId="8" fillId="0" borderId="0" xfId="0" applyFont="1">
      <alignment vertical="center"/>
    </xf>
    <xf numFmtId="0" fontId="8" fillId="0" borderId="0" xfId="0" quotePrefix="1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8" borderId="0" xfId="0" applyFont="1" applyFill="1">
      <alignment vertical="center"/>
    </xf>
    <xf numFmtId="181" fontId="2" fillId="9" borderId="0" xfId="0" applyNumberFormat="1" applyFont="1" applyFill="1">
      <alignment vertical="center"/>
    </xf>
    <xf numFmtId="0" fontId="11" fillId="0" borderId="0" xfId="0" applyFont="1">
      <alignment vertical="center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6" borderId="0" xfId="0" applyFont="1" applyFill="1">
      <alignment vertical="center"/>
    </xf>
    <xf numFmtId="0" fontId="0" fillId="0" borderId="0" xfId="0">
      <alignment vertical="center"/>
    </xf>
    <xf numFmtId="0" fontId="7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2</xdr:row>
          <xdr:rowOff>161925</xdr:rowOff>
        </xdr:from>
        <xdr:to>
          <xdr:col>9</xdr:col>
          <xdr:colOff>400050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招一次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6</xdr:row>
          <xdr:rowOff>19050</xdr:rowOff>
        </xdr:from>
        <xdr:to>
          <xdr:col>9</xdr:col>
          <xdr:colOff>419100</xdr:colOff>
          <xdr:row>7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招十次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9</xdr:row>
          <xdr:rowOff>9525</xdr:rowOff>
        </xdr:from>
        <xdr:to>
          <xdr:col>9</xdr:col>
          <xdr:colOff>400050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指定抽数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12</xdr:row>
          <xdr:rowOff>0</xdr:rowOff>
        </xdr:from>
        <xdr:to>
          <xdr:col>9</xdr:col>
          <xdr:colOff>428625</xdr:colOff>
          <xdr:row>13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CF92-E586-4B5E-AE59-C057CD468D66}">
  <sheetPr codeName="Sheet1"/>
  <dimension ref="A1:O101"/>
  <sheetViews>
    <sheetView tabSelected="1" topLeftCell="B1" workbookViewId="0">
      <selection activeCell="A101" sqref="A101"/>
    </sheetView>
  </sheetViews>
  <sheetFormatPr defaultRowHeight="14.25" x14ac:dyDescent="0.2"/>
  <cols>
    <col min="1" max="1" width="7.125" bestFit="1" customWidth="1"/>
    <col min="2" max="3" width="11" bestFit="1" customWidth="1"/>
    <col min="4" max="4" width="9" bestFit="1" customWidth="1"/>
    <col min="5" max="5" width="7.125" bestFit="1" customWidth="1"/>
    <col min="6" max="6" width="11.625" bestFit="1" customWidth="1"/>
    <col min="7" max="7" width="11" bestFit="1" customWidth="1"/>
    <col min="8" max="8" width="9" bestFit="1" customWidth="1"/>
    <col min="13" max="13" width="10.5" bestFit="1" customWidth="1"/>
    <col min="15" max="15" width="11" bestFit="1" customWidth="1"/>
  </cols>
  <sheetData>
    <row r="1" spans="1:15" x14ac:dyDescent="0.2">
      <c r="A1" s="2" t="s">
        <v>28</v>
      </c>
      <c r="B1" s="2" t="s">
        <v>44</v>
      </c>
      <c r="C1" s="2" t="s">
        <v>45</v>
      </c>
      <c r="D1" s="2" t="s">
        <v>29</v>
      </c>
      <c r="E1" s="2" t="s">
        <v>30</v>
      </c>
      <c r="F1" s="2" t="s">
        <v>43</v>
      </c>
      <c r="G1" s="2" t="s">
        <v>31</v>
      </c>
      <c r="H1" s="2" t="s">
        <v>32</v>
      </c>
      <c r="K1" s="4" t="s">
        <v>46</v>
      </c>
      <c r="L1" s="4" t="s">
        <v>47</v>
      </c>
      <c r="M1" s="4" t="s">
        <v>48</v>
      </c>
      <c r="N1" s="4" t="s">
        <v>49</v>
      </c>
      <c r="O1" s="4" t="s">
        <v>50</v>
      </c>
    </row>
    <row r="2" spans="1:15" x14ac:dyDescent="0.2">
      <c r="A2">
        <v>1</v>
      </c>
      <c r="B2">
        <v>1</v>
      </c>
      <c r="C2">
        <v>1</v>
      </c>
      <c r="D2" t="s">
        <v>22</v>
      </c>
      <c r="E2" t="s">
        <v>33</v>
      </c>
      <c r="F2" t="s">
        <v>34</v>
      </c>
      <c r="G2" t="s">
        <v>35</v>
      </c>
      <c r="H2" t="s">
        <v>36</v>
      </c>
      <c r="K2" s="5">
        <v>1</v>
      </c>
      <c r="L2" s="5" t="s">
        <v>27</v>
      </c>
      <c r="M2" s="5" t="s">
        <v>40</v>
      </c>
      <c r="N2" s="5">
        <v>35</v>
      </c>
      <c r="O2" s="5" t="s">
        <v>259</v>
      </c>
    </row>
    <row r="3" spans="1:15" x14ac:dyDescent="0.2">
      <c r="A3">
        <v>2</v>
      </c>
      <c r="B3">
        <v>2</v>
      </c>
      <c r="C3">
        <v>2</v>
      </c>
      <c r="D3" t="s">
        <v>20</v>
      </c>
      <c r="E3" t="s">
        <v>33</v>
      </c>
      <c r="F3" t="s">
        <v>34</v>
      </c>
      <c r="G3" t="s">
        <v>35</v>
      </c>
      <c r="H3" t="s">
        <v>36</v>
      </c>
      <c r="K3" s="6">
        <v>2</v>
      </c>
      <c r="L3" s="6" t="s">
        <v>260</v>
      </c>
      <c r="M3" s="6" t="s">
        <v>41</v>
      </c>
      <c r="N3" s="6">
        <v>38</v>
      </c>
      <c r="O3" s="6" t="s">
        <v>261</v>
      </c>
    </row>
    <row r="4" spans="1:15" x14ac:dyDescent="0.2">
      <c r="A4">
        <v>3</v>
      </c>
      <c r="B4">
        <v>3</v>
      </c>
      <c r="C4">
        <v>3</v>
      </c>
      <c r="D4" t="s">
        <v>17</v>
      </c>
      <c r="E4" t="s">
        <v>33</v>
      </c>
      <c r="F4" t="s">
        <v>34</v>
      </c>
      <c r="G4" t="s">
        <v>35</v>
      </c>
      <c r="H4" t="s">
        <v>36</v>
      </c>
      <c r="K4" s="5">
        <v>3</v>
      </c>
      <c r="L4" s="5" t="s">
        <v>27</v>
      </c>
      <c r="M4" s="5" t="s">
        <v>40</v>
      </c>
      <c r="N4" s="5">
        <v>9</v>
      </c>
      <c r="O4" s="5" t="s">
        <v>262</v>
      </c>
    </row>
    <row r="5" spans="1:15" x14ac:dyDescent="0.2">
      <c r="A5">
        <v>4</v>
      </c>
      <c r="B5">
        <v>4</v>
      </c>
      <c r="C5">
        <v>4</v>
      </c>
      <c r="D5" t="s">
        <v>26</v>
      </c>
      <c r="E5" t="s">
        <v>33</v>
      </c>
      <c r="F5" t="s">
        <v>34</v>
      </c>
      <c r="G5" t="s">
        <v>35</v>
      </c>
      <c r="H5" t="s">
        <v>36</v>
      </c>
    </row>
    <row r="6" spans="1:15" x14ac:dyDescent="0.2">
      <c r="A6">
        <v>5</v>
      </c>
      <c r="B6">
        <v>5</v>
      </c>
      <c r="C6">
        <v>5</v>
      </c>
      <c r="D6" t="s">
        <v>24</v>
      </c>
      <c r="E6" t="s">
        <v>33</v>
      </c>
      <c r="F6" t="s">
        <v>34</v>
      </c>
      <c r="G6" t="s">
        <v>35</v>
      </c>
      <c r="H6" t="s">
        <v>36</v>
      </c>
    </row>
    <row r="7" spans="1:15" x14ac:dyDescent="0.2">
      <c r="A7">
        <v>6</v>
      </c>
      <c r="B7">
        <v>6</v>
      </c>
      <c r="C7">
        <v>6</v>
      </c>
      <c r="D7" t="s">
        <v>21</v>
      </c>
      <c r="E7" t="s">
        <v>33</v>
      </c>
      <c r="F7" t="s">
        <v>34</v>
      </c>
      <c r="G7" t="s">
        <v>35</v>
      </c>
      <c r="H7" t="s">
        <v>36</v>
      </c>
    </row>
    <row r="8" spans="1:15" x14ac:dyDescent="0.2">
      <c r="A8">
        <v>7</v>
      </c>
      <c r="B8">
        <v>7</v>
      </c>
      <c r="C8">
        <v>7</v>
      </c>
      <c r="D8" t="s">
        <v>10</v>
      </c>
      <c r="E8" t="s">
        <v>33</v>
      </c>
      <c r="F8" t="s">
        <v>34</v>
      </c>
      <c r="G8" t="s">
        <v>35</v>
      </c>
      <c r="H8" t="s">
        <v>36</v>
      </c>
    </row>
    <row r="9" spans="1:15" x14ac:dyDescent="0.2">
      <c r="A9">
        <v>8</v>
      </c>
      <c r="B9">
        <v>8</v>
      </c>
      <c r="C9">
        <v>8</v>
      </c>
      <c r="D9" t="s">
        <v>11</v>
      </c>
      <c r="E9" t="s">
        <v>33</v>
      </c>
      <c r="F9" t="s">
        <v>34</v>
      </c>
      <c r="G9" t="s">
        <v>35</v>
      </c>
      <c r="H9" t="s">
        <v>36</v>
      </c>
    </row>
    <row r="10" spans="1:15" x14ac:dyDescent="0.2">
      <c r="A10">
        <v>9</v>
      </c>
      <c r="B10">
        <v>9</v>
      </c>
      <c r="C10">
        <v>9</v>
      </c>
      <c r="D10" t="s">
        <v>11</v>
      </c>
      <c r="E10" t="s">
        <v>33</v>
      </c>
      <c r="F10" t="s">
        <v>34</v>
      </c>
      <c r="G10" t="s">
        <v>35</v>
      </c>
      <c r="H10" t="s">
        <v>36</v>
      </c>
    </row>
    <row r="11" spans="1:15" x14ac:dyDescent="0.2">
      <c r="A11" s="3">
        <v>10</v>
      </c>
      <c r="B11" s="3">
        <v>10</v>
      </c>
      <c r="C11" s="3">
        <v>10</v>
      </c>
      <c r="D11" s="3" t="s">
        <v>6</v>
      </c>
      <c r="E11" s="3" t="s">
        <v>37</v>
      </c>
      <c r="F11" s="3" t="s">
        <v>34</v>
      </c>
      <c r="G11" s="3" t="s">
        <v>35</v>
      </c>
      <c r="H11" s="3" t="s">
        <v>36</v>
      </c>
    </row>
    <row r="12" spans="1:15" x14ac:dyDescent="0.2">
      <c r="A12">
        <v>11</v>
      </c>
      <c r="B12">
        <v>11</v>
      </c>
      <c r="C12">
        <v>11</v>
      </c>
      <c r="D12" t="s">
        <v>14</v>
      </c>
      <c r="E12" t="s">
        <v>33</v>
      </c>
      <c r="F12" t="s">
        <v>34</v>
      </c>
      <c r="G12" t="s">
        <v>35</v>
      </c>
      <c r="H12" t="s">
        <v>36</v>
      </c>
    </row>
    <row r="13" spans="1:15" x14ac:dyDescent="0.2">
      <c r="A13">
        <v>12</v>
      </c>
      <c r="B13">
        <v>12</v>
      </c>
      <c r="C13">
        <v>12</v>
      </c>
      <c r="D13" t="s">
        <v>18</v>
      </c>
      <c r="E13" t="s">
        <v>33</v>
      </c>
      <c r="F13" t="s">
        <v>34</v>
      </c>
      <c r="G13" t="s">
        <v>35</v>
      </c>
      <c r="H13" t="s">
        <v>36</v>
      </c>
    </row>
    <row r="14" spans="1:15" x14ac:dyDescent="0.2">
      <c r="A14" s="3">
        <v>13</v>
      </c>
      <c r="B14" s="3">
        <v>13</v>
      </c>
      <c r="C14" s="3">
        <v>13</v>
      </c>
      <c r="D14" s="3" t="s">
        <v>1</v>
      </c>
      <c r="E14" s="3" t="s">
        <v>37</v>
      </c>
      <c r="F14" s="3" t="s">
        <v>34</v>
      </c>
      <c r="G14" s="3" t="s">
        <v>35</v>
      </c>
      <c r="H14" s="3" t="s">
        <v>36</v>
      </c>
    </row>
    <row r="15" spans="1:15" x14ac:dyDescent="0.2">
      <c r="A15">
        <v>14</v>
      </c>
      <c r="B15">
        <v>14</v>
      </c>
      <c r="C15">
        <v>14</v>
      </c>
      <c r="D15" t="s">
        <v>12</v>
      </c>
      <c r="E15" t="s">
        <v>33</v>
      </c>
      <c r="F15" t="s">
        <v>34</v>
      </c>
      <c r="G15" t="s">
        <v>35</v>
      </c>
      <c r="H15" t="s">
        <v>36</v>
      </c>
    </row>
    <row r="16" spans="1:15" x14ac:dyDescent="0.2">
      <c r="A16">
        <v>15</v>
      </c>
      <c r="B16">
        <v>15</v>
      </c>
      <c r="C16">
        <v>15</v>
      </c>
      <c r="D16" t="s">
        <v>23</v>
      </c>
      <c r="E16" t="s">
        <v>33</v>
      </c>
      <c r="F16" t="s">
        <v>34</v>
      </c>
      <c r="G16" t="s">
        <v>35</v>
      </c>
      <c r="H16" t="s">
        <v>36</v>
      </c>
    </row>
    <row r="17" spans="1:8" x14ac:dyDescent="0.2">
      <c r="A17">
        <v>16</v>
      </c>
      <c r="B17">
        <v>16</v>
      </c>
      <c r="C17">
        <v>16</v>
      </c>
      <c r="D17" t="s">
        <v>26</v>
      </c>
      <c r="E17" t="s">
        <v>33</v>
      </c>
      <c r="F17" t="s">
        <v>34</v>
      </c>
      <c r="G17" t="s">
        <v>35</v>
      </c>
      <c r="H17" t="s">
        <v>36</v>
      </c>
    </row>
    <row r="18" spans="1:8" x14ac:dyDescent="0.2">
      <c r="A18">
        <v>17</v>
      </c>
      <c r="B18">
        <v>17</v>
      </c>
      <c r="C18">
        <v>17</v>
      </c>
      <c r="D18" t="s">
        <v>22</v>
      </c>
      <c r="E18" t="s">
        <v>33</v>
      </c>
      <c r="F18" t="s">
        <v>34</v>
      </c>
      <c r="G18" t="s">
        <v>35</v>
      </c>
      <c r="H18" t="s">
        <v>36</v>
      </c>
    </row>
    <row r="19" spans="1:8" x14ac:dyDescent="0.2">
      <c r="A19">
        <v>18</v>
      </c>
      <c r="B19">
        <v>18</v>
      </c>
      <c r="C19">
        <v>18</v>
      </c>
      <c r="D19" t="s">
        <v>21</v>
      </c>
      <c r="E19" t="s">
        <v>33</v>
      </c>
      <c r="F19" t="s">
        <v>34</v>
      </c>
      <c r="G19" t="s">
        <v>35</v>
      </c>
      <c r="H19" t="s">
        <v>36</v>
      </c>
    </row>
    <row r="20" spans="1:8" x14ac:dyDescent="0.2">
      <c r="A20">
        <v>19</v>
      </c>
      <c r="B20">
        <v>19</v>
      </c>
      <c r="C20">
        <v>19</v>
      </c>
      <c r="D20" t="s">
        <v>14</v>
      </c>
      <c r="E20" t="s">
        <v>33</v>
      </c>
      <c r="F20" t="s">
        <v>34</v>
      </c>
      <c r="G20" t="s">
        <v>35</v>
      </c>
      <c r="H20" t="s">
        <v>36</v>
      </c>
    </row>
    <row r="21" spans="1:8" x14ac:dyDescent="0.2">
      <c r="A21">
        <v>20</v>
      </c>
      <c r="B21">
        <v>20</v>
      </c>
      <c r="C21">
        <v>20</v>
      </c>
      <c r="D21" t="s">
        <v>10</v>
      </c>
      <c r="E21" t="s">
        <v>33</v>
      </c>
      <c r="F21" t="s">
        <v>34</v>
      </c>
      <c r="G21" t="s">
        <v>35</v>
      </c>
      <c r="H21" t="s">
        <v>36</v>
      </c>
    </row>
    <row r="22" spans="1:8" x14ac:dyDescent="0.2">
      <c r="A22">
        <v>21</v>
      </c>
      <c r="B22">
        <v>21</v>
      </c>
      <c r="C22">
        <v>21</v>
      </c>
      <c r="D22" t="s">
        <v>22</v>
      </c>
      <c r="E22" t="s">
        <v>33</v>
      </c>
      <c r="F22" t="s">
        <v>34</v>
      </c>
      <c r="G22" t="s">
        <v>35</v>
      </c>
      <c r="H22" t="s">
        <v>36</v>
      </c>
    </row>
    <row r="23" spans="1:8" x14ac:dyDescent="0.2">
      <c r="A23">
        <v>22</v>
      </c>
      <c r="B23">
        <v>22</v>
      </c>
      <c r="C23">
        <v>22</v>
      </c>
      <c r="D23" t="s">
        <v>8</v>
      </c>
      <c r="E23" t="s">
        <v>33</v>
      </c>
      <c r="F23" t="s">
        <v>34</v>
      </c>
      <c r="G23" t="s">
        <v>35</v>
      </c>
      <c r="H23" t="s">
        <v>36</v>
      </c>
    </row>
    <row r="24" spans="1:8" x14ac:dyDescent="0.2">
      <c r="A24" s="3">
        <v>23</v>
      </c>
      <c r="B24" s="3">
        <v>23</v>
      </c>
      <c r="C24" s="3">
        <v>23</v>
      </c>
      <c r="D24" s="3" t="s">
        <v>4</v>
      </c>
      <c r="E24" s="3" t="s">
        <v>37</v>
      </c>
      <c r="F24" s="3" t="s">
        <v>34</v>
      </c>
      <c r="G24" s="3" t="s">
        <v>35</v>
      </c>
      <c r="H24" s="3" t="s">
        <v>36</v>
      </c>
    </row>
    <row r="25" spans="1:8" x14ac:dyDescent="0.2">
      <c r="A25">
        <v>24</v>
      </c>
      <c r="B25">
        <v>24</v>
      </c>
      <c r="C25">
        <v>24</v>
      </c>
      <c r="D25" t="s">
        <v>11</v>
      </c>
      <c r="E25" t="s">
        <v>33</v>
      </c>
      <c r="F25" t="s">
        <v>34</v>
      </c>
      <c r="G25" t="s">
        <v>35</v>
      </c>
      <c r="H25" t="s">
        <v>36</v>
      </c>
    </row>
    <row r="26" spans="1:8" x14ac:dyDescent="0.2">
      <c r="A26">
        <v>25</v>
      </c>
      <c r="B26">
        <v>25</v>
      </c>
      <c r="C26">
        <v>25</v>
      </c>
      <c r="D26" t="s">
        <v>21</v>
      </c>
      <c r="E26" t="s">
        <v>33</v>
      </c>
      <c r="F26" t="s">
        <v>34</v>
      </c>
      <c r="G26" t="s">
        <v>35</v>
      </c>
      <c r="H26" t="s">
        <v>36</v>
      </c>
    </row>
    <row r="27" spans="1:8" x14ac:dyDescent="0.2">
      <c r="A27">
        <v>26</v>
      </c>
      <c r="B27">
        <v>26</v>
      </c>
      <c r="C27">
        <v>26</v>
      </c>
      <c r="D27" t="s">
        <v>20</v>
      </c>
      <c r="E27" t="s">
        <v>33</v>
      </c>
      <c r="F27" t="s">
        <v>34</v>
      </c>
      <c r="G27" t="s">
        <v>35</v>
      </c>
      <c r="H27" t="s">
        <v>36</v>
      </c>
    </row>
    <row r="28" spans="1:8" x14ac:dyDescent="0.2">
      <c r="A28">
        <v>27</v>
      </c>
      <c r="B28">
        <v>27</v>
      </c>
      <c r="C28">
        <v>27</v>
      </c>
      <c r="D28" t="s">
        <v>9</v>
      </c>
      <c r="E28" t="s">
        <v>33</v>
      </c>
      <c r="F28" t="s">
        <v>34</v>
      </c>
      <c r="G28" t="s">
        <v>35</v>
      </c>
      <c r="H28" t="s">
        <v>36</v>
      </c>
    </row>
    <row r="29" spans="1:8" x14ac:dyDescent="0.2">
      <c r="A29">
        <v>28</v>
      </c>
      <c r="B29">
        <v>28</v>
      </c>
      <c r="C29">
        <v>28</v>
      </c>
      <c r="D29" t="s">
        <v>7</v>
      </c>
      <c r="E29" t="s">
        <v>33</v>
      </c>
      <c r="F29" t="s">
        <v>34</v>
      </c>
      <c r="G29" t="s">
        <v>35</v>
      </c>
      <c r="H29" t="s">
        <v>36</v>
      </c>
    </row>
    <row r="30" spans="1:8" x14ac:dyDescent="0.2">
      <c r="A30">
        <v>29</v>
      </c>
      <c r="B30">
        <v>29</v>
      </c>
      <c r="C30">
        <v>29</v>
      </c>
      <c r="D30" t="s">
        <v>21</v>
      </c>
      <c r="E30" t="s">
        <v>33</v>
      </c>
      <c r="F30" t="s">
        <v>34</v>
      </c>
      <c r="G30" t="s">
        <v>35</v>
      </c>
      <c r="H30" t="s">
        <v>36</v>
      </c>
    </row>
    <row r="31" spans="1:8" x14ac:dyDescent="0.2">
      <c r="A31">
        <v>30</v>
      </c>
      <c r="B31">
        <v>30</v>
      </c>
      <c r="C31">
        <v>30</v>
      </c>
      <c r="D31" t="s">
        <v>8</v>
      </c>
      <c r="E31" t="s">
        <v>33</v>
      </c>
      <c r="F31" t="s">
        <v>34</v>
      </c>
      <c r="G31" t="s">
        <v>35</v>
      </c>
      <c r="H31" t="s">
        <v>36</v>
      </c>
    </row>
    <row r="32" spans="1:8" x14ac:dyDescent="0.2">
      <c r="A32">
        <v>31</v>
      </c>
      <c r="B32">
        <v>31</v>
      </c>
      <c r="C32">
        <v>31</v>
      </c>
      <c r="D32" t="s">
        <v>18</v>
      </c>
      <c r="E32" t="s">
        <v>33</v>
      </c>
      <c r="F32" t="s">
        <v>34</v>
      </c>
      <c r="G32" t="s">
        <v>35</v>
      </c>
      <c r="H32" t="s">
        <v>36</v>
      </c>
    </row>
    <row r="33" spans="1:8" x14ac:dyDescent="0.2">
      <c r="A33" s="3">
        <v>32</v>
      </c>
      <c r="B33" s="3">
        <v>32</v>
      </c>
      <c r="C33" s="3">
        <v>32</v>
      </c>
      <c r="D33" s="3" t="s">
        <v>258</v>
      </c>
      <c r="E33" s="3" t="s">
        <v>37</v>
      </c>
      <c r="F33" s="3" t="s">
        <v>34</v>
      </c>
      <c r="G33" s="3" t="s">
        <v>35</v>
      </c>
      <c r="H33" s="3" t="s">
        <v>36</v>
      </c>
    </row>
    <row r="34" spans="1:8" x14ac:dyDescent="0.2">
      <c r="A34">
        <v>33</v>
      </c>
      <c r="B34">
        <v>33</v>
      </c>
      <c r="C34">
        <v>33</v>
      </c>
      <c r="D34" t="s">
        <v>22</v>
      </c>
      <c r="E34" t="s">
        <v>33</v>
      </c>
      <c r="F34" t="s">
        <v>34</v>
      </c>
      <c r="G34" t="s">
        <v>35</v>
      </c>
      <c r="H34" t="s">
        <v>36</v>
      </c>
    </row>
    <row r="35" spans="1:8" x14ac:dyDescent="0.2">
      <c r="A35">
        <v>34</v>
      </c>
      <c r="B35">
        <v>34</v>
      </c>
      <c r="C35">
        <v>34</v>
      </c>
      <c r="D35" t="s">
        <v>13</v>
      </c>
      <c r="E35" t="s">
        <v>33</v>
      </c>
      <c r="F35" t="s">
        <v>34</v>
      </c>
      <c r="G35" t="s">
        <v>35</v>
      </c>
      <c r="H35" t="s">
        <v>36</v>
      </c>
    </row>
    <row r="36" spans="1:8" x14ac:dyDescent="0.2">
      <c r="A36" s="4">
        <v>35</v>
      </c>
      <c r="B36" s="4">
        <v>35</v>
      </c>
      <c r="C36" s="4" t="s">
        <v>38</v>
      </c>
      <c r="D36" s="4" t="s">
        <v>27</v>
      </c>
      <c r="E36" s="4" t="s">
        <v>39</v>
      </c>
      <c r="F36" s="4" t="s">
        <v>40</v>
      </c>
      <c r="G36" s="4" t="s">
        <v>35</v>
      </c>
      <c r="H36" s="4" t="s">
        <v>36</v>
      </c>
    </row>
    <row r="37" spans="1:8" x14ac:dyDescent="0.2">
      <c r="A37">
        <v>36</v>
      </c>
      <c r="B37">
        <v>1</v>
      </c>
      <c r="C37">
        <v>1</v>
      </c>
      <c r="D37" t="s">
        <v>24</v>
      </c>
      <c r="E37" t="s">
        <v>33</v>
      </c>
      <c r="F37" t="s">
        <v>34</v>
      </c>
      <c r="G37" t="s">
        <v>35</v>
      </c>
      <c r="H37" t="s">
        <v>36</v>
      </c>
    </row>
    <row r="38" spans="1:8" x14ac:dyDescent="0.2">
      <c r="A38">
        <v>37</v>
      </c>
      <c r="B38">
        <v>2</v>
      </c>
      <c r="C38">
        <v>2</v>
      </c>
      <c r="D38" t="s">
        <v>23</v>
      </c>
      <c r="E38" t="s">
        <v>33</v>
      </c>
      <c r="F38" t="s">
        <v>34</v>
      </c>
      <c r="G38" t="s">
        <v>35</v>
      </c>
      <c r="H38" t="s">
        <v>36</v>
      </c>
    </row>
    <row r="39" spans="1:8" x14ac:dyDescent="0.2">
      <c r="A39">
        <v>38</v>
      </c>
      <c r="B39">
        <v>3</v>
      </c>
      <c r="C39">
        <v>3</v>
      </c>
      <c r="D39" t="s">
        <v>12</v>
      </c>
      <c r="E39" t="s">
        <v>33</v>
      </c>
      <c r="F39" t="s">
        <v>34</v>
      </c>
      <c r="G39" t="s">
        <v>35</v>
      </c>
      <c r="H39" t="s">
        <v>36</v>
      </c>
    </row>
    <row r="40" spans="1:8" x14ac:dyDescent="0.2">
      <c r="A40">
        <v>39</v>
      </c>
      <c r="B40">
        <v>4</v>
      </c>
      <c r="C40">
        <v>4</v>
      </c>
      <c r="D40" t="s">
        <v>19</v>
      </c>
      <c r="E40" t="s">
        <v>33</v>
      </c>
      <c r="F40" t="s">
        <v>34</v>
      </c>
      <c r="G40" t="s">
        <v>35</v>
      </c>
      <c r="H40" t="s">
        <v>36</v>
      </c>
    </row>
    <row r="41" spans="1:8" x14ac:dyDescent="0.2">
      <c r="A41">
        <v>40</v>
      </c>
      <c r="B41">
        <v>5</v>
      </c>
      <c r="C41">
        <v>5</v>
      </c>
      <c r="D41" t="s">
        <v>18</v>
      </c>
      <c r="E41" t="s">
        <v>33</v>
      </c>
      <c r="F41" t="s">
        <v>34</v>
      </c>
      <c r="G41" t="s">
        <v>35</v>
      </c>
      <c r="H41" t="s">
        <v>36</v>
      </c>
    </row>
    <row r="42" spans="1:8" x14ac:dyDescent="0.2">
      <c r="A42">
        <v>41</v>
      </c>
      <c r="B42">
        <v>6</v>
      </c>
      <c r="C42">
        <v>6</v>
      </c>
      <c r="D42" t="s">
        <v>11</v>
      </c>
      <c r="E42" t="s">
        <v>33</v>
      </c>
      <c r="F42" t="s">
        <v>34</v>
      </c>
      <c r="G42" t="s">
        <v>35</v>
      </c>
      <c r="H42" t="s">
        <v>36</v>
      </c>
    </row>
    <row r="43" spans="1:8" x14ac:dyDescent="0.2">
      <c r="A43">
        <v>42</v>
      </c>
      <c r="B43">
        <v>7</v>
      </c>
      <c r="C43">
        <v>7</v>
      </c>
      <c r="D43" t="s">
        <v>25</v>
      </c>
      <c r="E43" t="s">
        <v>33</v>
      </c>
      <c r="F43" t="s">
        <v>34</v>
      </c>
      <c r="G43" t="s">
        <v>35</v>
      </c>
      <c r="H43" t="s">
        <v>36</v>
      </c>
    </row>
    <row r="44" spans="1:8" x14ac:dyDescent="0.2">
      <c r="A44" s="3">
        <v>43</v>
      </c>
      <c r="B44" s="3">
        <v>8</v>
      </c>
      <c r="C44" s="3">
        <v>8</v>
      </c>
      <c r="D44" s="3" t="s">
        <v>5</v>
      </c>
      <c r="E44" s="3" t="s">
        <v>37</v>
      </c>
      <c r="F44" s="3" t="s">
        <v>34</v>
      </c>
      <c r="G44" s="3" t="s">
        <v>35</v>
      </c>
      <c r="H44" s="3" t="s">
        <v>36</v>
      </c>
    </row>
    <row r="45" spans="1:8" x14ac:dyDescent="0.2">
      <c r="A45">
        <v>44</v>
      </c>
      <c r="B45">
        <v>9</v>
      </c>
      <c r="C45">
        <v>9</v>
      </c>
      <c r="D45" t="s">
        <v>14</v>
      </c>
      <c r="E45" t="s">
        <v>33</v>
      </c>
      <c r="F45" t="s">
        <v>34</v>
      </c>
      <c r="G45" t="s">
        <v>35</v>
      </c>
      <c r="H45" t="s">
        <v>36</v>
      </c>
    </row>
    <row r="46" spans="1:8" x14ac:dyDescent="0.2">
      <c r="A46">
        <v>45</v>
      </c>
      <c r="B46">
        <v>10</v>
      </c>
      <c r="C46">
        <v>10</v>
      </c>
      <c r="D46" t="s">
        <v>24</v>
      </c>
      <c r="E46" t="s">
        <v>33</v>
      </c>
      <c r="F46" t="s">
        <v>34</v>
      </c>
      <c r="G46" t="s">
        <v>35</v>
      </c>
      <c r="H46" t="s">
        <v>36</v>
      </c>
    </row>
    <row r="47" spans="1:8" x14ac:dyDescent="0.2">
      <c r="A47">
        <v>46</v>
      </c>
      <c r="B47">
        <v>11</v>
      </c>
      <c r="C47">
        <v>11</v>
      </c>
      <c r="D47" t="s">
        <v>8</v>
      </c>
      <c r="E47" t="s">
        <v>33</v>
      </c>
      <c r="F47" t="s">
        <v>34</v>
      </c>
      <c r="G47" t="s">
        <v>35</v>
      </c>
      <c r="H47" t="s">
        <v>36</v>
      </c>
    </row>
    <row r="48" spans="1:8" x14ac:dyDescent="0.2">
      <c r="A48">
        <v>47</v>
      </c>
      <c r="B48">
        <v>12</v>
      </c>
      <c r="C48">
        <v>12</v>
      </c>
      <c r="D48" t="s">
        <v>11</v>
      </c>
      <c r="E48" t="s">
        <v>33</v>
      </c>
      <c r="F48" t="s">
        <v>34</v>
      </c>
      <c r="G48" t="s">
        <v>35</v>
      </c>
      <c r="H48" t="s">
        <v>36</v>
      </c>
    </row>
    <row r="49" spans="1:8" x14ac:dyDescent="0.2">
      <c r="A49">
        <v>48</v>
      </c>
      <c r="B49">
        <v>13</v>
      </c>
      <c r="C49">
        <v>13</v>
      </c>
      <c r="D49" t="s">
        <v>11</v>
      </c>
      <c r="E49" t="s">
        <v>33</v>
      </c>
      <c r="F49" t="s">
        <v>34</v>
      </c>
      <c r="G49" t="s">
        <v>35</v>
      </c>
      <c r="H49" t="s">
        <v>36</v>
      </c>
    </row>
    <row r="50" spans="1:8" x14ac:dyDescent="0.2">
      <c r="A50">
        <v>49</v>
      </c>
      <c r="B50">
        <v>14</v>
      </c>
      <c r="C50">
        <v>14</v>
      </c>
      <c r="D50" t="s">
        <v>22</v>
      </c>
      <c r="E50" t="s">
        <v>33</v>
      </c>
      <c r="F50" t="s">
        <v>34</v>
      </c>
      <c r="G50" t="s">
        <v>35</v>
      </c>
      <c r="H50" t="s">
        <v>36</v>
      </c>
    </row>
    <row r="51" spans="1:8" x14ac:dyDescent="0.2">
      <c r="A51">
        <v>50</v>
      </c>
      <c r="B51">
        <v>15</v>
      </c>
      <c r="C51">
        <v>15</v>
      </c>
      <c r="D51" t="s">
        <v>9</v>
      </c>
      <c r="E51" t="s">
        <v>33</v>
      </c>
      <c r="F51" t="s">
        <v>34</v>
      </c>
      <c r="G51" t="s">
        <v>35</v>
      </c>
      <c r="H51" t="s">
        <v>36</v>
      </c>
    </row>
    <row r="52" spans="1:8" x14ac:dyDescent="0.2">
      <c r="A52">
        <v>51</v>
      </c>
      <c r="B52">
        <v>16</v>
      </c>
      <c r="C52">
        <v>16</v>
      </c>
      <c r="D52" t="s">
        <v>12</v>
      </c>
      <c r="E52" t="s">
        <v>33</v>
      </c>
      <c r="F52" t="s">
        <v>34</v>
      </c>
      <c r="G52" t="s">
        <v>35</v>
      </c>
      <c r="H52" t="s">
        <v>36</v>
      </c>
    </row>
    <row r="53" spans="1:8" x14ac:dyDescent="0.2">
      <c r="A53">
        <v>52</v>
      </c>
      <c r="B53">
        <v>17</v>
      </c>
      <c r="C53">
        <v>17</v>
      </c>
      <c r="D53" t="s">
        <v>17</v>
      </c>
      <c r="E53" t="s">
        <v>33</v>
      </c>
      <c r="F53" t="s">
        <v>34</v>
      </c>
      <c r="G53" t="s">
        <v>35</v>
      </c>
      <c r="H53" t="s">
        <v>36</v>
      </c>
    </row>
    <row r="54" spans="1:8" x14ac:dyDescent="0.2">
      <c r="A54" s="3">
        <v>53</v>
      </c>
      <c r="B54" s="3">
        <v>18</v>
      </c>
      <c r="C54" s="3">
        <v>18</v>
      </c>
      <c r="D54" s="3" t="s">
        <v>5</v>
      </c>
      <c r="E54" s="3" t="s">
        <v>37</v>
      </c>
      <c r="F54" s="3" t="s">
        <v>34</v>
      </c>
      <c r="G54" s="3" t="s">
        <v>35</v>
      </c>
      <c r="H54" s="3" t="s">
        <v>36</v>
      </c>
    </row>
    <row r="55" spans="1:8" x14ac:dyDescent="0.2">
      <c r="A55">
        <v>54</v>
      </c>
      <c r="B55">
        <v>19</v>
      </c>
      <c r="C55">
        <v>19</v>
      </c>
      <c r="D55" t="s">
        <v>9</v>
      </c>
      <c r="E55" t="s">
        <v>33</v>
      </c>
      <c r="F55" t="s">
        <v>34</v>
      </c>
      <c r="G55" t="s">
        <v>35</v>
      </c>
      <c r="H55" t="s">
        <v>36</v>
      </c>
    </row>
    <row r="56" spans="1:8" x14ac:dyDescent="0.2">
      <c r="A56">
        <v>55</v>
      </c>
      <c r="B56">
        <v>20</v>
      </c>
      <c r="C56">
        <v>20</v>
      </c>
      <c r="D56" t="s">
        <v>22</v>
      </c>
      <c r="E56" t="s">
        <v>33</v>
      </c>
      <c r="F56" t="s">
        <v>34</v>
      </c>
      <c r="G56" t="s">
        <v>35</v>
      </c>
      <c r="H56" t="s">
        <v>36</v>
      </c>
    </row>
    <row r="57" spans="1:8" x14ac:dyDescent="0.2">
      <c r="A57">
        <v>56</v>
      </c>
      <c r="B57">
        <v>21</v>
      </c>
      <c r="C57">
        <v>21</v>
      </c>
      <c r="D57" t="s">
        <v>19</v>
      </c>
      <c r="E57" t="s">
        <v>33</v>
      </c>
      <c r="F57" t="s">
        <v>34</v>
      </c>
      <c r="G57" t="s">
        <v>35</v>
      </c>
      <c r="H57" t="s">
        <v>36</v>
      </c>
    </row>
    <row r="58" spans="1:8" x14ac:dyDescent="0.2">
      <c r="A58">
        <v>57</v>
      </c>
      <c r="B58">
        <v>22</v>
      </c>
      <c r="C58">
        <v>22</v>
      </c>
      <c r="D58" t="s">
        <v>13</v>
      </c>
      <c r="E58" t="s">
        <v>33</v>
      </c>
      <c r="F58" t="s">
        <v>34</v>
      </c>
      <c r="G58" t="s">
        <v>35</v>
      </c>
      <c r="H58" t="s">
        <v>36</v>
      </c>
    </row>
    <row r="59" spans="1:8" x14ac:dyDescent="0.2">
      <c r="A59">
        <v>58</v>
      </c>
      <c r="B59">
        <v>23</v>
      </c>
      <c r="C59">
        <v>23</v>
      </c>
      <c r="D59" t="s">
        <v>16</v>
      </c>
      <c r="E59" t="s">
        <v>33</v>
      </c>
      <c r="F59" t="s">
        <v>34</v>
      </c>
      <c r="G59" t="s">
        <v>35</v>
      </c>
      <c r="H59" t="s">
        <v>36</v>
      </c>
    </row>
    <row r="60" spans="1:8" x14ac:dyDescent="0.2">
      <c r="A60">
        <v>59</v>
      </c>
      <c r="B60">
        <v>24</v>
      </c>
      <c r="C60">
        <v>24</v>
      </c>
      <c r="D60" t="s">
        <v>7</v>
      </c>
      <c r="E60" t="s">
        <v>33</v>
      </c>
      <c r="F60" t="s">
        <v>34</v>
      </c>
      <c r="G60" t="s">
        <v>35</v>
      </c>
      <c r="H60" t="s">
        <v>36</v>
      </c>
    </row>
    <row r="61" spans="1:8" x14ac:dyDescent="0.2">
      <c r="A61" s="3">
        <v>60</v>
      </c>
      <c r="B61" s="3">
        <v>25</v>
      </c>
      <c r="C61" s="3">
        <v>25</v>
      </c>
      <c r="D61" s="3" t="s">
        <v>4</v>
      </c>
      <c r="E61" s="3" t="s">
        <v>37</v>
      </c>
      <c r="F61" s="3" t="s">
        <v>34</v>
      </c>
      <c r="G61" s="3" t="s">
        <v>35</v>
      </c>
      <c r="H61" s="3" t="s">
        <v>36</v>
      </c>
    </row>
    <row r="62" spans="1:8" x14ac:dyDescent="0.2">
      <c r="A62">
        <v>61</v>
      </c>
      <c r="B62">
        <v>26</v>
      </c>
      <c r="C62">
        <v>26</v>
      </c>
      <c r="D62" t="s">
        <v>10</v>
      </c>
      <c r="E62" t="s">
        <v>33</v>
      </c>
      <c r="F62" t="s">
        <v>34</v>
      </c>
      <c r="G62" t="s">
        <v>35</v>
      </c>
      <c r="H62" t="s">
        <v>36</v>
      </c>
    </row>
    <row r="63" spans="1:8" x14ac:dyDescent="0.2">
      <c r="A63">
        <v>62</v>
      </c>
      <c r="B63">
        <v>27</v>
      </c>
      <c r="C63">
        <v>27</v>
      </c>
      <c r="D63" t="s">
        <v>12</v>
      </c>
      <c r="E63" t="s">
        <v>33</v>
      </c>
      <c r="F63" t="s">
        <v>34</v>
      </c>
      <c r="G63" t="s">
        <v>35</v>
      </c>
      <c r="H63" t="s">
        <v>36</v>
      </c>
    </row>
    <row r="64" spans="1:8" x14ac:dyDescent="0.2">
      <c r="A64">
        <v>63</v>
      </c>
      <c r="B64">
        <v>28</v>
      </c>
      <c r="C64">
        <v>28</v>
      </c>
      <c r="D64" t="s">
        <v>12</v>
      </c>
      <c r="E64" t="s">
        <v>33</v>
      </c>
      <c r="F64" t="s">
        <v>34</v>
      </c>
      <c r="G64" t="s">
        <v>35</v>
      </c>
      <c r="H64" t="s">
        <v>36</v>
      </c>
    </row>
    <row r="65" spans="1:8" x14ac:dyDescent="0.2">
      <c r="A65" s="3">
        <v>64</v>
      </c>
      <c r="B65" s="3">
        <v>29</v>
      </c>
      <c r="C65" s="3">
        <v>29</v>
      </c>
      <c r="D65" s="3" t="s">
        <v>2</v>
      </c>
      <c r="E65" s="3" t="s">
        <v>37</v>
      </c>
      <c r="F65" s="3" t="s">
        <v>34</v>
      </c>
      <c r="G65" s="3" t="s">
        <v>35</v>
      </c>
      <c r="H65" s="3" t="s">
        <v>36</v>
      </c>
    </row>
    <row r="66" spans="1:8" x14ac:dyDescent="0.2">
      <c r="A66">
        <v>65</v>
      </c>
      <c r="B66">
        <v>30</v>
      </c>
      <c r="C66">
        <v>30</v>
      </c>
      <c r="D66" t="s">
        <v>24</v>
      </c>
      <c r="E66" t="s">
        <v>33</v>
      </c>
      <c r="F66" t="s">
        <v>34</v>
      </c>
      <c r="G66" t="s">
        <v>35</v>
      </c>
      <c r="H66" t="s">
        <v>36</v>
      </c>
    </row>
    <row r="67" spans="1:8" x14ac:dyDescent="0.2">
      <c r="A67">
        <v>66</v>
      </c>
      <c r="B67">
        <v>31</v>
      </c>
      <c r="C67">
        <v>31</v>
      </c>
      <c r="D67" t="s">
        <v>7</v>
      </c>
      <c r="E67" t="s">
        <v>33</v>
      </c>
      <c r="F67" t="s">
        <v>34</v>
      </c>
      <c r="G67" t="s">
        <v>35</v>
      </c>
      <c r="H67" t="s">
        <v>36</v>
      </c>
    </row>
    <row r="68" spans="1:8" x14ac:dyDescent="0.2">
      <c r="A68">
        <v>67</v>
      </c>
      <c r="B68">
        <v>32</v>
      </c>
      <c r="C68">
        <v>32</v>
      </c>
      <c r="D68" t="s">
        <v>8</v>
      </c>
      <c r="E68" t="s">
        <v>33</v>
      </c>
      <c r="F68" t="s">
        <v>34</v>
      </c>
      <c r="G68" t="s">
        <v>35</v>
      </c>
      <c r="H68" t="s">
        <v>36</v>
      </c>
    </row>
    <row r="69" spans="1:8" x14ac:dyDescent="0.2">
      <c r="A69">
        <v>68</v>
      </c>
      <c r="B69">
        <v>33</v>
      </c>
      <c r="C69">
        <v>33</v>
      </c>
      <c r="D69" t="s">
        <v>7</v>
      </c>
      <c r="E69" t="s">
        <v>33</v>
      </c>
      <c r="F69" t="s">
        <v>34</v>
      </c>
      <c r="G69" t="s">
        <v>35</v>
      </c>
      <c r="H69" t="s">
        <v>36</v>
      </c>
    </row>
    <row r="70" spans="1:8" x14ac:dyDescent="0.2">
      <c r="A70">
        <v>69</v>
      </c>
      <c r="B70">
        <v>34</v>
      </c>
      <c r="C70">
        <v>34</v>
      </c>
      <c r="D70" t="s">
        <v>20</v>
      </c>
      <c r="E70" t="s">
        <v>33</v>
      </c>
      <c r="F70" t="s">
        <v>34</v>
      </c>
      <c r="G70" t="s">
        <v>35</v>
      </c>
      <c r="H70" t="s">
        <v>36</v>
      </c>
    </row>
    <row r="71" spans="1:8" x14ac:dyDescent="0.2">
      <c r="A71">
        <v>70</v>
      </c>
      <c r="B71">
        <v>35</v>
      </c>
      <c r="C71">
        <v>35</v>
      </c>
      <c r="D71" t="s">
        <v>22</v>
      </c>
      <c r="E71" t="s">
        <v>33</v>
      </c>
      <c r="F71" t="s">
        <v>34</v>
      </c>
      <c r="G71" t="s">
        <v>35</v>
      </c>
      <c r="H71" t="s">
        <v>36</v>
      </c>
    </row>
    <row r="72" spans="1:8" x14ac:dyDescent="0.2">
      <c r="A72">
        <v>71</v>
      </c>
      <c r="B72">
        <v>36</v>
      </c>
      <c r="C72">
        <v>36</v>
      </c>
      <c r="D72" t="s">
        <v>26</v>
      </c>
      <c r="E72" t="s">
        <v>33</v>
      </c>
      <c r="F72" t="s">
        <v>34</v>
      </c>
      <c r="G72" t="s">
        <v>35</v>
      </c>
      <c r="H72" t="s">
        <v>36</v>
      </c>
    </row>
    <row r="73" spans="1:8" x14ac:dyDescent="0.2">
      <c r="A73">
        <v>72</v>
      </c>
      <c r="B73">
        <v>37</v>
      </c>
      <c r="C73">
        <v>37</v>
      </c>
      <c r="D73" t="s">
        <v>18</v>
      </c>
      <c r="E73" t="s">
        <v>33</v>
      </c>
      <c r="F73" t="s">
        <v>34</v>
      </c>
      <c r="G73" t="s">
        <v>35</v>
      </c>
      <c r="H73" t="s">
        <v>36</v>
      </c>
    </row>
    <row r="74" spans="1:8" x14ac:dyDescent="0.2">
      <c r="A74" s="4">
        <v>73</v>
      </c>
      <c r="B74" s="4">
        <v>38</v>
      </c>
      <c r="C74" s="4" t="s">
        <v>38</v>
      </c>
      <c r="D74" s="4" t="s">
        <v>260</v>
      </c>
      <c r="E74" s="4" t="s">
        <v>39</v>
      </c>
      <c r="F74" s="4" t="s">
        <v>41</v>
      </c>
      <c r="G74" s="4" t="s">
        <v>42</v>
      </c>
      <c r="H74" s="4" t="s">
        <v>36</v>
      </c>
    </row>
    <row r="75" spans="1:8" x14ac:dyDescent="0.2">
      <c r="A75" s="3">
        <v>74</v>
      </c>
      <c r="B75" s="3">
        <v>1</v>
      </c>
      <c r="C75" s="3">
        <v>1</v>
      </c>
      <c r="D75" s="3" t="s">
        <v>3</v>
      </c>
      <c r="E75" s="3" t="s">
        <v>37</v>
      </c>
      <c r="F75" s="3" t="s">
        <v>34</v>
      </c>
      <c r="G75" s="3" t="s">
        <v>42</v>
      </c>
      <c r="H75" s="3" t="s">
        <v>36</v>
      </c>
    </row>
    <row r="76" spans="1:8" x14ac:dyDescent="0.2">
      <c r="A76">
        <v>75</v>
      </c>
      <c r="B76">
        <v>2</v>
      </c>
      <c r="C76">
        <v>2</v>
      </c>
      <c r="D76" t="s">
        <v>11</v>
      </c>
      <c r="E76" t="s">
        <v>33</v>
      </c>
      <c r="F76" t="s">
        <v>34</v>
      </c>
      <c r="G76" t="s">
        <v>42</v>
      </c>
      <c r="H76" t="s">
        <v>36</v>
      </c>
    </row>
    <row r="77" spans="1:8" x14ac:dyDescent="0.2">
      <c r="A77">
        <v>76</v>
      </c>
      <c r="B77">
        <v>3</v>
      </c>
      <c r="C77">
        <v>3</v>
      </c>
      <c r="D77" t="s">
        <v>17</v>
      </c>
      <c r="E77" t="s">
        <v>33</v>
      </c>
      <c r="F77" t="s">
        <v>34</v>
      </c>
      <c r="G77" t="s">
        <v>42</v>
      </c>
      <c r="H77" t="s">
        <v>36</v>
      </c>
    </row>
    <row r="78" spans="1:8" x14ac:dyDescent="0.2">
      <c r="A78">
        <v>77</v>
      </c>
      <c r="B78">
        <v>4</v>
      </c>
      <c r="C78">
        <v>4</v>
      </c>
      <c r="D78" t="s">
        <v>23</v>
      </c>
      <c r="E78" t="s">
        <v>33</v>
      </c>
      <c r="F78" t="s">
        <v>34</v>
      </c>
      <c r="G78" t="s">
        <v>42</v>
      </c>
      <c r="H78" t="s">
        <v>36</v>
      </c>
    </row>
    <row r="79" spans="1:8" x14ac:dyDescent="0.2">
      <c r="A79">
        <v>78</v>
      </c>
      <c r="B79">
        <v>5</v>
      </c>
      <c r="C79">
        <v>5</v>
      </c>
      <c r="D79" t="s">
        <v>18</v>
      </c>
      <c r="E79" t="s">
        <v>33</v>
      </c>
      <c r="F79" t="s">
        <v>34</v>
      </c>
      <c r="G79" t="s">
        <v>42</v>
      </c>
      <c r="H79" t="s">
        <v>36</v>
      </c>
    </row>
    <row r="80" spans="1:8" x14ac:dyDescent="0.2">
      <c r="A80">
        <v>79</v>
      </c>
      <c r="B80">
        <v>6</v>
      </c>
      <c r="C80">
        <v>6</v>
      </c>
      <c r="D80" t="s">
        <v>7</v>
      </c>
      <c r="E80" t="s">
        <v>33</v>
      </c>
      <c r="F80" t="s">
        <v>34</v>
      </c>
      <c r="G80" t="s">
        <v>42</v>
      </c>
      <c r="H80" t="s">
        <v>36</v>
      </c>
    </row>
    <row r="81" spans="1:8" x14ac:dyDescent="0.2">
      <c r="A81">
        <v>80</v>
      </c>
      <c r="B81">
        <v>7</v>
      </c>
      <c r="C81">
        <v>7</v>
      </c>
      <c r="D81" t="s">
        <v>8</v>
      </c>
      <c r="E81" t="s">
        <v>33</v>
      </c>
      <c r="F81" t="s">
        <v>34</v>
      </c>
      <c r="G81" t="s">
        <v>42</v>
      </c>
      <c r="H81" t="s">
        <v>36</v>
      </c>
    </row>
    <row r="82" spans="1:8" x14ac:dyDescent="0.2">
      <c r="A82">
        <v>81</v>
      </c>
      <c r="B82">
        <v>8</v>
      </c>
      <c r="C82">
        <v>8</v>
      </c>
      <c r="D82" t="s">
        <v>11</v>
      </c>
      <c r="E82" t="s">
        <v>33</v>
      </c>
      <c r="F82" t="s">
        <v>34</v>
      </c>
      <c r="G82" t="s">
        <v>42</v>
      </c>
      <c r="H82" t="s">
        <v>36</v>
      </c>
    </row>
    <row r="83" spans="1:8" x14ac:dyDescent="0.2">
      <c r="A83" s="4">
        <v>82</v>
      </c>
      <c r="B83" s="4">
        <v>9</v>
      </c>
      <c r="C83" s="4" t="s">
        <v>38</v>
      </c>
      <c r="D83" s="4" t="s">
        <v>27</v>
      </c>
      <c r="E83" s="4" t="s">
        <v>39</v>
      </c>
      <c r="F83" s="4" t="s">
        <v>40</v>
      </c>
      <c r="G83" s="4" t="s">
        <v>35</v>
      </c>
      <c r="H83" s="4" t="s">
        <v>36</v>
      </c>
    </row>
    <row r="84" spans="1:8" x14ac:dyDescent="0.2">
      <c r="A84" s="3">
        <v>83</v>
      </c>
      <c r="B84" s="3">
        <v>1</v>
      </c>
      <c r="C84" s="3">
        <v>1</v>
      </c>
      <c r="D84" s="3" t="s">
        <v>0</v>
      </c>
      <c r="E84" s="3" t="s">
        <v>37</v>
      </c>
      <c r="F84" s="3" t="s">
        <v>34</v>
      </c>
      <c r="G84" s="3" t="s">
        <v>35</v>
      </c>
      <c r="H84" s="3" t="s">
        <v>36</v>
      </c>
    </row>
    <row r="85" spans="1:8" x14ac:dyDescent="0.2">
      <c r="A85" s="3">
        <v>84</v>
      </c>
      <c r="B85" s="3">
        <v>2</v>
      </c>
      <c r="C85" s="3">
        <v>2</v>
      </c>
      <c r="D85" s="3" t="s">
        <v>5</v>
      </c>
      <c r="E85" s="3" t="s">
        <v>37</v>
      </c>
      <c r="F85" s="3" t="s">
        <v>34</v>
      </c>
      <c r="G85" s="3" t="s">
        <v>35</v>
      </c>
      <c r="H85" s="3" t="s">
        <v>36</v>
      </c>
    </row>
    <row r="86" spans="1:8" x14ac:dyDescent="0.2">
      <c r="A86">
        <v>85</v>
      </c>
      <c r="B86">
        <v>3</v>
      </c>
      <c r="C86">
        <v>3</v>
      </c>
      <c r="D86" t="s">
        <v>15</v>
      </c>
      <c r="E86" t="s">
        <v>33</v>
      </c>
      <c r="F86" t="s">
        <v>34</v>
      </c>
      <c r="G86" t="s">
        <v>35</v>
      </c>
      <c r="H86" t="s">
        <v>36</v>
      </c>
    </row>
    <row r="87" spans="1:8" x14ac:dyDescent="0.2">
      <c r="A87">
        <v>86</v>
      </c>
      <c r="B87">
        <v>4</v>
      </c>
      <c r="C87">
        <v>4</v>
      </c>
      <c r="D87" t="s">
        <v>20</v>
      </c>
      <c r="E87" t="s">
        <v>33</v>
      </c>
      <c r="F87" t="s">
        <v>34</v>
      </c>
      <c r="G87" t="s">
        <v>35</v>
      </c>
      <c r="H87" t="s">
        <v>36</v>
      </c>
    </row>
    <row r="88" spans="1:8" x14ac:dyDescent="0.2">
      <c r="A88">
        <v>87</v>
      </c>
      <c r="B88">
        <v>5</v>
      </c>
      <c r="C88">
        <v>5</v>
      </c>
      <c r="D88" t="s">
        <v>8</v>
      </c>
      <c r="E88" t="s">
        <v>33</v>
      </c>
      <c r="F88" t="s">
        <v>34</v>
      </c>
      <c r="G88" t="s">
        <v>35</v>
      </c>
      <c r="H88" t="s">
        <v>36</v>
      </c>
    </row>
    <row r="89" spans="1:8" x14ac:dyDescent="0.2">
      <c r="A89">
        <v>88</v>
      </c>
      <c r="B89">
        <v>6</v>
      </c>
      <c r="C89">
        <v>6</v>
      </c>
      <c r="D89" t="s">
        <v>24</v>
      </c>
      <c r="E89" t="s">
        <v>33</v>
      </c>
      <c r="F89" t="s">
        <v>34</v>
      </c>
      <c r="G89" t="s">
        <v>35</v>
      </c>
      <c r="H89" t="s">
        <v>36</v>
      </c>
    </row>
    <row r="90" spans="1:8" x14ac:dyDescent="0.2">
      <c r="A90">
        <v>89</v>
      </c>
      <c r="B90">
        <v>7</v>
      </c>
      <c r="C90">
        <v>7</v>
      </c>
      <c r="D90" t="s">
        <v>21</v>
      </c>
      <c r="E90" t="s">
        <v>33</v>
      </c>
      <c r="F90" t="s">
        <v>34</v>
      </c>
      <c r="G90" t="s">
        <v>35</v>
      </c>
      <c r="H90" t="s">
        <v>36</v>
      </c>
    </row>
    <row r="91" spans="1:8" x14ac:dyDescent="0.2">
      <c r="A91">
        <v>90</v>
      </c>
      <c r="B91">
        <v>8</v>
      </c>
      <c r="C91">
        <v>8</v>
      </c>
      <c r="D91" t="s">
        <v>20</v>
      </c>
      <c r="E91" t="s">
        <v>33</v>
      </c>
      <c r="F91" t="s">
        <v>34</v>
      </c>
      <c r="G91" t="s">
        <v>35</v>
      </c>
      <c r="H91" t="s">
        <v>36</v>
      </c>
    </row>
    <row r="92" spans="1:8" x14ac:dyDescent="0.2">
      <c r="A92">
        <v>91</v>
      </c>
      <c r="B92">
        <v>9</v>
      </c>
      <c r="C92">
        <v>9</v>
      </c>
      <c r="D92" t="s">
        <v>26</v>
      </c>
      <c r="E92" t="s">
        <v>33</v>
      </c>
      <c r="F92" t="s">
        <v>34</v>
      </c>
      <c r="G92" t="s">
        <v>35</v>
      </c>
      <c r="H92" t="s">
        <v>36</v>
      </c>
    </row>
    <row r="93" spans="1:8" x14ac:dyDescent="0.2">
      <c r="A93">
        <v>92</v>
      </c>
      <c r="B93">
        <v>10</v>
      </c>
      <c r="C93">
        <v>10</v>
      </c>
      <c r="D93" t="s">
        <v>7</v>
      </c>
      <c r="E93" t="s">
        <v>33</v>
      </c>
      <c r="F93" t="s">
        <v>34</v>
      </c>
      <c r="G93" t="s">
        <v>35</v>
      </c>
      <c r="H93" t="s">
        <v>36</v>
      </c>
    </row>
    <row r="94" spans="1:8" x14ac:dyDescent="0.2">
      <c r="A94">
        <v>93</v>
      </c>
      <c r="B94">
        <v>11</v>
      </c>
      <c r="C94">
        <v>11</v>
      </c>
      <c r="D94" t="s">
        <v>10</v>
      </c>
      <c r="E94" t="s">
        <v>33</v>
      </c>
      <c r="F94" t="s">
        <v>34</v>
      </c>
      <c r="G94" t="s">
        <v>35</v>
      </c>
      <c r="H94" t="s">
        <v>36</v>
      </c>
    </row>
    <row r="95" spans="1:8" x14ac:dyDescent="0.2">
      <c r="A95" s="3">
        <v>94</v>
      </c>
      <c r="B95" s="3">
        <v>12</v>
      </c>
      <c r="C95" s="3">
        <v>12</v>
      </c>
      <c r="D95" s="3" t="s">
        <v>3</v>
      </c>
      <c r="E95" s="3" t="s">
        <v>37</v>
      </c>
      <c r="F95" s="3" t="s">
        <v>34</v>
      </c>
      <c r="G95" s="3" t="s">
        <v>35</v>
      </c>
      <c r="H95" s="3" t="s">
        <v>36</v>
      </c>
    </row>
    <row r="96" spans="1:8" x14ac:dyDescent="0.2">
      <c r="A96">
        <v>95</v>
      </c>
      <c r="B96">
        <v>13</v>
      </c>
      <c r="C96">
        <v>13</v>
      </c>
      <c r="D96" t="s">
        <v>23</v>
      </c>
      <c r="E96" t="s">
        <v>33</v>
      </c>
      <c r="F96" t="s">
        <v>34</v>
      </c>
      <c r="G96" t="s">
        <v>35</v>
      </c>
      <c r="H96" t="s">
        <v>36</v>
      </c>
    </row>
    <row r="97" spans="1:8" x14ac:dyDescent="0.2">
      <c r="A97">
        <v>96</v>
      </c>
      <c r="B97">
        <v>14</v>
      </c>
      <c r="C97">
        <v>14</v>
      </c>
      <c r="D97" t="s">
        <v>23</v>
      </c>
      <c r="E97" t="s">
        <v>33</v>
      </c>
      <c r="F97" t="s">
        <v>34</v>
      </c>
      <c r="G97" t="s">
        <v>35</v>
      </c>
      <c r="H97" t="s">
        <v>36</v>
      </c>
    </row>
    <row r="98" spans="1:8" x14ac:dyDescent="0.2">
      <c r="A98">
        <v>97</v>
      </c>
      <c r="B98">
        <v>15</v>
      </c>
      <c r="C98">
        <v>15</v>
      </c>
      <c r="D98" t="s">
        <v>11</v>
      </c>
      <c r="E98" t="s">
        <v>33</v>
      </c>
      <c r="F98" t="s">
        <v>34</v>
      </c>
      <c r="G98" t="s">
        <v>35</v>
      </c>
      <c r="H98" t="s">
        <v>36</v>
      </c>
    </row>
    <row r="99" spans="1:8" x14ac:dyDescent="0.2">
      <c r="A99">
        <v>98</v>
      </c>
      <c r="B99">
        <v>16</v>
      </c>
      <c r="C99">
        <v>16</v>
      </c>
      <c r="D99" t="s">
        <v>21</v>
      </c>
      <c r="E99" t="s">
        <v>33</v>
      </c>
      <c r="F99" t="s">
        <v>34</v>
      </c>
      <c r="G99" t="s">
        <v>35</v>
      </c>
      <c r="H99" t="s">
        <v>36</v>
      </c>
    </row>
    <row r="100" spans="1:8" x14ac:dyDescent="0.2">
      <c r="A100">
        <v>99</v>
      </c>
      <c r="B100">
        <v>17</v>
      </c>
      <c r="C100">
        <v>17</v>
      </c>
      <c r="D100" t="s">
        <v>11</v>
      </c>
      <c r="E100" t="s">
        <v>33</v>
      </c>
      <c r="F100" t="s">
        <v>34</v>
      </c>
      <c r="G100" t="s">
        <v>35</v>
      </c>
      <c r="H100" t="s">
        <v>36</v>
      </c>
    </row>
    <row r="101" spans="1:8" x14ac:dyDescent="0.2">
      <c r="A101">
        <v>100</v>
      </c>
      <c r="B101">
        <v>18</v>
      </c>
      <c r="C101">
        <v>18</v>
      </c>
      <c r="D101" t="s">
        <v>21</v>
      </c>
      <c r="E101" t="s">
        <v>33</v>
      </c>
      <c r="F101" t="s">
        <v>34</v>
      </c>
      <c r="G101" t="s">
        <v>35</v>
      </c>
      <c r="H101" t="s">
        <v>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_SinglePull">
                <anchor moveWithCells="1" sizeWithCells="1">
                  <from>
                    <xdr:col>8</xdr:col>
                    <xdr:colOff>276225</xdr:colOff>
                    <xdr:row>2</xdr:row>
                    <xdr:rowOff>161925</xdr:rowOff>
                  </from>
                  <to>
                    <xdr:col>9</xdr:col>
                    <xdr:colOff>400050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TenPulls">
                <anchor moveWithCells="1" sizeWithCells="1">
                  <from>
                    <xdr:col>8</xdr:col>
                    <xdr:colOff>276225</xdr:colOff>
                    <xdr:row>6</xdr:row>
                    <xdr:rowOff>19050</xdr:rowOff>
                  </from>
                  <to>
                    <xdr:col>9</xdr:col>
                    <xdr:colOff>419100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_CustomPulls">
                <anchor moveWithCells="1" sizeWithCells="1">
                  <from>
                    <xdr:col>8</xdr:col>
                    <xdr:colOff>266700</xdr:colOff>
                    <xdr:row>9</xdr:row>
                    <xdr:rowOff>9525</xdr:rowOff>
                  </from>
                  <to>
                    <xdr:col>9</xdr:col>
                    <xdr:colOff>400050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tn_Reset">
                <anchor moveWithCells="1" sizeWithCells="1">
                  <from>
                    <xdr:col>8</xdr:col>
                    <xdr:colOff>266700</xdr:colOff>
                    <xdr:row>12</xdr:row>
                    <xdr:rowOff>0</xdr:rowOff>
                  </from>
                  <to>
                    <xdr:col>9</xdr:col>
                    <xdr:colOff>428625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A2479-1F4B-42E3-8369-16588CE02763}">
  <sheetPr codeName="Sheet9"/>
  <dimension ref="A1:C20"/>
  <sheetViews>
    <sheetView topLeftCell="A7" workbookViewId="0">
      <selection activeCell="C28" sqref="C28"/>
    </sheetView>
  </sheetViews>
  <sheetFormatPr defaultRowHeight="14.25" x14ac:dyDescent="0.2"/>
  <cols>
    <col min="1" max="1" width="32.625" customWidth="1"/>
    <col min="2" max="2" width="15.625" customWidth="1"/>
    <col min="3" max="3" width="65.625" customWidth="1"/>
  </cols>
  <sheetData>
    <row r="1" spans="1:3" x14ac:dyDescent="0.2">
      <c r="A1" s="29" t="s">
        <v>92</v>
      </c>
      <c r="B1" s="30"/>
      <c r="C1" s="30"/>
    </row>
    <row r="2" spans="1:3" x14ac:dyDescent="0.2">
      <c r="A2" t="s">
        <v>93</v>
      </c>
      <c r="B2">
        <v>200</v>
      </c>
      <c r="C2" s="19"/>
    </row>
    <row r="3" spans="1:3" x14ac:dyDescent="0.2">
      <c r="A3" t="s">
        <v>94</v>
      </c>
      <c r="B3">
        <v>20</v>
      </c>
      <c r="C3" s="19" t="s">
        <v>95</v>
      </c>
    </row>
    <row r="4" spans="1:3" x14ac:dyDescent="0.2">
      <c r="A4" t="s">
        <v>96</v>
      </c>
      <c r="B4" s="1">
        <v>9.5999999999999992E-3</v>
      </c>
      <c r="C4" s="19" t="s">
        <v>119</v>
      </c>
    </row>
    <row r="5" spans="1:3" x14ac:dyDescent="0.2">
      <c r="A5" t="s">
        <v>97</v>
      </c>
      <c r="B5">
        <v>40</v>
      </c>
      <c r="C5" s="19"/>
    </row>
    <row r="6" spans="1:3" x14ac:dyDescent="0.2">
      <c r="A6" t="s">
        <v>98</v>
      </c>
      <c r="B6">
        <v>35</v>
      </c>
      <c r="C6" s="19" t="s">
        <v>99</v>
      </c>
    </row>
    <row r="7" spans="1:3" x14ac:dyDescent="0.2">
      <c r="A7" t="s">
        <v>100</v>
      </c>
      <c r="B7" s="7">
        <v>0.8</v>
      </c>
      <c r="C7" s="19"/>
    </row>
    <row r="8" spans="1:3" x14ac:dyDescent="0.2">
      <c r="A8" t="s">
        <v>51</v>
      </c>
      <c r="B8">
        <v>2</v>
      </c>
      <c r="C8" s="19" t="s">
        <v>101</v>
      </c>
    </row>
    <row r="9" spans="1:3" x14ac:dyDescent="0.2">
      <c r="C9" s="19"/>
    </row>
    <row r="10" spans="1:3" x14ac:dyDescent="0.2">
      <c r="A10" s="29" t="s">
        <v>102</v>
      </c>
      <c r="B10" s="30"/>
      <c r="C10" s="31"/>
    </row>
    <row r="11" spans="1:3" x14ac:dyDescent="0.2">
      <c r="A11" t="s">
        <v>103</v>
      </c>
      <c r="B11" s="8">
        <f>1/0.03</f>
        <v>33.333333333333336</v>
      </c>
      <c r="C11" s="19" t="s">
        <v>104</v>
      </c>
    </row>
    <row r="12" spans="1:3" x14ac:dyDescent="0.2">
      <c r="A12" t="s">
        <v>105</v>
      </c>
      <c r="B12" s="1">
        <f>1/B11</f>
        <v>0.03</v>
      </c>
      <c r="C12" s="19"/>
    </row>
    <row r="13" spans="1:3" x14ac:dyDescent="0.2">
      <c r="A13" t="s">
        <v>110</v>
      </c>
      <c r="B13" s="1">
        <f>1/(B8*(2-B7))</f>
        <v>0.41666666666666669</v>
      </c>
      <c r="C13" s="19" t="s">
        <v>111</v>
      </c>
    </row>
    <row r="14" spans="1:3" x14ac:dyDescent="0.2">
      <c r="A14" t="s">
        <v>106</v>
      </c>
      <c r="B14" s="8">
        <f>B8*(2-B7)</f>
        <v>2.4</v>
      </c>
      <c r="C14" s="19" t="s">
        <v>112</v>
      </c>
    </row>
    <row r="15" spans="1:3" x14ac:dyDescent="0.2">
      <c r="A15" t="s">
        <v>107</v>
      </c>
      <c r="B15" s="17">
        <f>B14*B11</f>
        <v>80</v>
      </c>
      <c r="C15" s="19" t="s">
        <v>113</v>
      </c>
    </row>
    <row r="16" spans="1:3" x14ac:dyDescent="0.2">
      <c r="C16" s="19"/>
    </row>
    <row r="17" spans="1:3" x14ac:dyDescent="0.2">
      <c r="A17" s="29" t="s">
        <v>108</v>
      </c>
      <c r="B17" s="30"/>
      <c r="C17" s="31"/>
    </row>
    <row r="18" spans="1:3" x14ac:dyDescent="0.2">
      <c r="A18" t="s">
        <v>109</v>
      </c>
      <c r="B18" s="9">
        <f>B11*B3</f>
        <v>666.66666666666674</v>
      </c>
      <c r="C18" s="20" t="s">
        <v>114</v>
      </c>
    </row>
    <row r="19" spans="1:3" x14ac:dyDescent="0.2">
      <c r="A19" t="s">
        <v>115</v>
      </c>
      <c r="B19" s="18">
        <f>B15*B3</f>
        <v>1600</v>
      </c>
      <c r="C19" s="20" t="s">
        <v>116</v>
      </c>
    </row>
    <row r="20" spans="1:3" x14ac:dyDescent="0.2">
      <c r="A20" t="s">
        <v>117</v>
      </c>
      <c r="B20" s="18">
        <f>B19*10</f>
        <v>16000</v>
      </c>
      <c r="C20" s="20" t="s">
        <v>118</v>
      </c>
    </row>
  </sheetData>
  <mergeCells count="3">
    <mergeCell ref="A1:C1"/>
    <mergeCell ref="A10:C10"/>
    <mergeCell ref="A17:C1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CD15-0260-4182-99AB-16513E3BD04E}">
  <sheetPr codeName="Sheet7"/>
  <dimension ref="A1:E21"/>
  <sheetViews>
    <sheetView workbookViewId="0">
      <selection activeCell="A18" sqref="A18"/>
    </sheetView>
  </sheetViews>
  <sheetFormatPr defaultRowHeight="14.25" x14ac:dyDescent="0.2"/>
  <cols>
    <col min="1" max="1" width="25.625" customWidth="1"/>
    <col min="2" max="2" width="18.625" customWidth="1"/>
    <col min="3" max="3" width="15.625" customWidth="1"/>
    <col min="4" max="4" width="20.625" customWidth="1"/>
    <col min="5" max="5" width="55.625" customWidth="1"/>
  </cols>
  <sheetData>
    <row r="1" spans="1:5" x14ac:dyDescent="0.2">
      <c r="A1" s="32" t="s">
        <v>57</v>
      </c>
      <c r="B1" s="33"/>
      <c r="C1" s="33"/>
      <c r="D1" s="33"/>
      <c r="E1" s="33"/>
    </row>
    <row r="2" spans="1:5" x14ac:dyDescent="0.2">
      <c r="A2" s="10" t="s">
        <v>58</v>
      </c>
      <c r="B2" s="10" t="s">
        <v>59</v>
      </c>
      <c r="C2" s="10" t="s">
        <v>60</v>
      </c>
      <c r="D2" s="10" t="s">
        <v>61</v>
      </c>
      <c r="E2" s="10" t="s">
        <v>62</v>
      </c>
    </row>
    <row r="3" spans="1:5" x14ac:dyDescent="0.2">
      <c r="A3" s="11" t="s">
        <v>63</v>
      </c>
      <c r="B3" s="11">
        <v>1</v>
      </c>
      <c r="C3" s="12">
        <f t="shared" ref="C3:C12" si="0">B3*80</f>
        <v>80</v>
      </c>
      <c r="D3" s="13">
        <f t="shared" ref="D3:D12" si="1">C3*20</f>
        <v>1600</v>
      </c>
      <c r="E3" s="16" t="s">
        <v>64</v>
      </c>
    </row>
    <row r="4" spans="1:5" x14ac:dyDescent="0.2">
      <c r="A4" s="11" t="s">
        <v>65</v>
      </c>
      <c r="B4" s="11">
        <v>2</v>
      </c>
      <c r="C4" s="12">
        <f t="shared" si="0"/>
        <v>160</v>
      </c>
      <c r="D4" s="13">
        <f t="shared" si="1"/>
        <v>3200</v>
      </c>
      <c r="E4" s="16" t="s">
        <v>66</v>
      </c>
    </row>
    <row r="5" spans="1:5" x14ac:dyDescent="0.2">
      <c r="A5" s="11" t="s">
        <v>52</v>
      </c>
      <c r="B5" s="11">
        <v>3</v>
      </c>
      <c r="C5" s="12">
        <f t="shared" si="0"/>
        <v>240</v>
      </c>
      <c r="D5" s="13">
        <f t="shared" si="1"/>
        <v>4800</v>
      </c>
      <c r="E5" s="16" t="s">
        <v>67</v>
      </c>
    </row>
    <row r="6" spans="1:5" x14ac:dyDescent="0.2">
      <c r="A6" s="11" t="s">
        <v>53</v>
      </c>
      <c r="B6" s="11">
        <v>4</v>
      </c>
      <c r="C6" s="12">
        <f t="shared" si="0"/>
        <v>320</v>
      </c>
      <c r="D6" s="13">
        <f t="shared" si="1"/>
        <v>6400</v>
      </c>
      <c r="E6" s="16" t="s">
        <v>68</v>
      </c>
    </row>
    <row r="7" spans="1:5" x14ac:dyDescent="0.2">
      <c r="A7" s="11" t="s">
        <v>54</v>
      </c>
      <c r="B7" s="11">
        <v>5</v>
      </c>
      <c r="C7" s="12">
        <f t="shared" si="0"/>
        <v>400</v>
      </c>
      <c r="D7" s="13">
        <f t="shared" si="1"/>
        <v>8000</v>
      </c>
      <c r="E7" s="16" t="s">
        <v>69</v>
      </c>
    </row>
    <row r="8" spans="1:5" x14ac:dyDescent="0.2">
      <c r="A8" s="11" t="s">
        <v>55</v>
      </c>
      <c r="B8" s="11">
        <v>6</v>
      </c>
      <c r="C8" s="12">
        <f t="shared" si="0"/>
        <v>480</v>
      </c>
      <c r="D8" s="13">
        <f t="shared" si="1"/>
        <v>9600</v>
      </c>
      <c r="E8" s="16" t="s">
        <v>69</v>
      </c>
    </row>
    <row r="9" spans="1:5" ht="28.5" x14ac:dyDescent="0.2">
      <c r="A9" s="11" t="s">
        <v>56</v>
      </c>
      <c r="B9" s="11">
        <v>7</v>
      </c>
      <c r="C9" s="12">
        <f t="shared" si="0"/>
        <v>560</v>
      </c>
      <c r="D9" s="13">
        <f t="shared" si="1"/>
        <v>11200</v>
      </c>
      <c r="E9" s="16" t="s">
        <v>70</v>
      </c>
    </row>
    <row r="10" spans="1:5" x14ac:dyDescent="0.2">
      <c r="A10" s="11" t="s">
        <v>71</v>
      </c>
      <c r="B10" s="11">
        <v>8</v>
      </c>
      <c r="C10" s="12">
        <f t="shared" si="0"/>
        <v>640</v>
      </c>
      <c r="D10" s="13">
        <f t="shared" si="1"/>
        <v>12800</v>
      </c>
      <c r="E10" s="16" t="s">
        <v>72</v>
      </c>
    </row>
    <row r="11" spans="1:5" ht="28.5" x14ac:dyDescent="0.2">
      <c r="A11" s="11" t="s">
        <v>73</v>
      </c>
      <c r="B11" s="11">
        <v>9</v>
      </c>
      <c r="C11" s="12">
        <f t="shared" si="0"/>
        <v>720</v>
      </c>
      <c r="D11" s="13">
        <f t="shared" si="1"/>
        <v>14400</v>
      </c>
      <c r="E11" s="16" t="s">
        <v>74</v>
      </c>
    </row>
    <row r="12" spans="1:5" ht="28.5" x14ac:dyDescent="0.2">
      <c r="A12" s="11" t="s">
        <v>75</v>
      </c>
      <c r="B12" s="11">
        <v>10</v>
      </c>
      <c r="C12" s="12">
        <f t="shared" si="0"/>
        <v>800</v>
      </c>
      <c r="D12" s="13">
        <f t="shared" si="1"/>
        <v>16000</v>
      </c>
      <c r="E12" s="16" t="s">
        <v>76</v>
      </c>
    </row>
    <row r="14" spans="1:5" x14ac:dyDescent="0.2">
      <c r="A14" s="34" t="s">
        <v>77</v>
      </c>
      <c r="B14" s="33"/>
      <c r="C14" s="33"/>
      <c r="D14" s="33"/>
      <c r="E14" s="33"/>
    </row>
    <row r="16" spans="1:5" x14ac:dyDescent="0.2">
      <c r="A16" s="32" t="s">
        <v>78</v>
      </c>
      <c r="B16" s="33"/>
      <c r="C16" s="33"/>
      <c r="D16" s="33"/>
      <c r="E16" s="33"/>
    </row>
    <row r="17" spans="1:5" x14ac:dyDescent="0.2">
      <c r="A17" s="10" t="s">
        <v>79</v>
      </c>
      <c r="B17" s="10" t="s">
        <v>80</v>
      </c>
      <c r="C17" s="10" t="s">
        <v>81</v>
      </c>
      <c r="D17" s="10" t="s">
        <v>82</v>
      </c>
      <c r="E17" s="10" t="s">
        <v>83</v>
      </c>
    </row>
    <row r="18" spans="1:5" ht="28.5" x14ac:dyDescent="0.2">
      <c r="A18" s="11" t="s">
        <v>84</v>
      </c>
      <c r="B18" s="14">
        <v>3.3</v>
      </c>
      <c r="C18" s="11">
        <v>1</v>
      </c>
      <c r="D18" s="15">
        <f>B18/C18</f>
        <v>3.3</v>
      </c>
      <c r="E18" s="16" t="s">
        <v>85</v>
      </c>
    </row>
    <row r="19" spans="1:5" ht="28.5" x14ac:dyDescent="0.2">
      <c r="A19" s="11" t="s">
        <v>86</v>
      </c>
      <c r="B19" s="14">
        <v>0.99</v>
      </c>
      <c r="C19" s="11">
        <v>2</v>
      </c>
      <c r="D19" s="15">
        <f>B19/C19</f>
        <v>0.495</v>
      </c>
      <c r="E19" s="16" t="s">
        <v>87</v>
      </c>
    </row>
    <row r="20" spans="1:5" ht="28.5" x14ac:dyDescent="0.2">
      <c r="A20" s="11" t="s">
        <v>88</v>
      </c>
      <c r="B20" s="14">
        <v>19.989999999999998</v>
      </c>
      <c r="C20" s="11">
        <v>14</v>
      </c>
      <c r="D20" s="15">
        <f>B20/C20</f>
        <v>1.4278571428571427</v>
      </c>
      <c r="E20" s="16" t="s">
        <v>89</v>
      </c>
    </row>
    <row r="21" spans="1:5" ht="28.5" x14ac:dyDescent="0.2">
      <c r="A21" s="11" t="s">
        <v>90</v>
      </c>
      <c r="B21" s="14">
        <v>14.99</v>
      </c>
      <c r="C21" s="11">
        <v>4.5</v>
      </c>
      <c r="D21" s="15">
        <f>B21/C21</f>
        <v>3.3311111111111114</v>
      </c>
      <c r="E21" s="16" t="s">
        <v>91</v>
      </c>
    </row>
  </sheetData>
  <mergeCells count="3">
    <mergeCell ref="A1:E1"/>
    <mergeCell ref="A14:E14"/>
    <mergeCell ref="A16:E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5155B-E5E7-4377-9EBA-13DEA8560172}">
  <sheetPr codeName="Sheet4"/>
  <dimension ref="A1:C25"/>
  <sheetViews>
    <sheetView workbookViewId="0">
      <selection activeCell="C35" sqref="C35"/>
    </sheetView>
  </sheetViews>
  <sheetFormatPr defaultRowHeight="14.25" x14ac:dyDescent="0.2"/>
  <cols>
    <col min="1" max="1" width="25.625" customWidth="1"/>
    <col min="2" max="3" width="18.625" customWidth="1"/>
  </cols>
  <sheetData>
    <row r="1" spans="1:3" x14ac:dyDescent="0.2">
      <c r="A1" s="25" t="s">
        <v>322</v>
      </c>
    </row>
    <row r="2" spans="1:3" x14ac:dyDescent="0.2">
      <c r="A2" s="26" t="s">
        <v>323</v>
      </c>
      <c r="B2" s="26" t="s">
        <v>324</v>
      </c>
    </row>
    <row r="3" spans="1:3" x14ac:dyDescent="0.2">
      <c r="A3" t="s">
        <v>325</v>
      </c>
      <c r="B3">
        <f>SUM(密探养成基础数据!B:B)</f>
        <v>2386300</v>
      </c>
    </row>
    <row r="4" spans="1:3" x14ac:dyDescent="0.2">
      <c r="A4" t="s">
        <v>326</v>
      </c>
      <c r="B4">
        <f>SUM(密探养成基础数据!4:4)</f>
        <v>1650100</v>
      </c>
    </row>
    <row r="5" spans="1:3" x14ac:dyDescent="0.2">
      <c r="A5" t="s">
        <v>327</v>
      </c>
      <c r="B5">
        <f>SUM(密探养成基础数据!29:29)</f>
        <v>2522400</v>
      </c>
    </row>
    <row r="6" spans="1:3" x14ac:dyDescent="0.2">
      <c r="A6" t="s">
        <v>328</v>
      </c>
      <c r="B6">
        <f>B4+B5</f>
        <v>4172500</v>
      </c>
    </row>
    <row r="8" spans="1:3" x14ac:dyDescent="0.2">
      <c r="A8" s="25" t="s">
        <v>329</v>
      </c>
    </row>
    <row r="9" spans="1:3" x14ac:dyDescent="0.2">
      <c r="A9" s="26" t="s">
        <v>330</v>
      </c>
      <c r="B9" s="26" t="s">
        <v>331</v>
      </c>
      <c r="C9" s="26" t="s">
        <v>332</v>
      </c>
    </row>
    <row r="10" spans="1:3" x14ac:dyDescent="0.2">
      <c r="A10" t="s">
        <v>333</v>
      </c>
      <c r="B10">
        <v>420</v>
      </c>
      <c r="C10">
        <v>500</v>
      </c>
    </row>
    <row r="11" spans="1:3" x14ac:dyDescent="0.2">
      <c r="A11" t="s">
        <v>334</v>
      </c>
      <c r="B11">
        <v>5</v>
      </c>
      <c r="C11">
        <v>6</v>
      </c>
    </row>
    <row r="12" spans="1:3" x14ac:dyDescent="0.2">
      <c r="A12" t="s">
        <v>335</v>
      </c>
      <c r="B12">
        <v>19000</v>
      </c>
      <c r="C12">
        <v>19000</v>
      </c>
    </row>
    <row r="13" spans="1:3" x14ac:dyDescent="0.2">
      <c r="A13" t="s">
        <v>336</v>
      </c>
      <c r="B13">
        <v>20</v>
      </c>
      <c r="C13">
        <v>20</v>
      </c>
    </row>
    <row r="14" spans="1:3" x14ac:dyDescent="0.2">
      <c r="A14" t="s">
        <v>337</v>
      </c>
      <c r="B14">
        <v>192</v>
      </c>
      <c r="C14">
        <v>192</v>
      </c>
    </row>
    <row r="15" spans="1:3" x14ac:dyDescent="0.2">
      <c r="A15" t="s">
        <v>338</v>
      </c>
      <c r="B15">
        <v>6500</v>
      </c>
      <c r="C15">
        <v>6500</v>
      </c>
    </row>
    <row r="17" spans="1:3" x14ac:dyDescent="0.2">
      <c r="A17" s="25" t="s">
        <v>339</v>
      </c>
    </row>
    <row r="18" spans="1:3" x14ac:dyDescent="0.2">
      <c r="A18" s="26" t="s">
        <v>340</v>
      </c>
      <c r="B18" s="26" t="s">
        <v>341</v>
      </c>
      <c r="C18" s="26" t="s">
        <v>342</v>
      </c>
    </row>
    <row r="19" spans="1:3" x14ac:dyDescent="0.2">
      <c r="A19" t="s">
        <v>343</v>
      </c>
      <c r="B19">
        <f>B11*B12</f>
        <v>95000</v>
      </c>
      <c r="C19">
        <f>C11*C12</f>
        <v>114000</v>
      </c>
    </row>
    <row r="20" spans="1:3" x14ac:dyDescent="0.2">
      <c r="A20" t="s">
        <v>344</v>
      </c>
      <c r="B20" s="27">
        <f>B3/B19</f>
        <v>25.118947368421054</v>
      </c>
      <c r="C20" s="27">
        <f>B3/C19</f>
        <v>20.932456140350876</v>
      </c>
    </row>
    <row r="21" spans="1:3" x14ac:dyDescent="0.2">
      <c r="A21" t="s">
        <v>345</v>
      </c>
      <c r="B21">
        <f>B20*B10</f>
        <v>10549.957894736843</v>
      </c>
      <c r="C21">
        <f>C20*C10</f>
        <v>10466.228070175437</v>
      </c>
    </row>
    <row r="22" spans="1:3" x14ac:dyDescent="0.2">
      <c r="A22" t="s">
        <v>346</v>
      </c>
      <c r="B22">
        <f>B20*B11*B13</f>
        <v>2511.8947368421054</v>
      </c>
      <c r="C22">
        <f>C20*C11*C13</f>
        <v>2511.894736842105</v>
      </c>
    </row>
    <row r="23" spans="1:3" x14ac:dyDescent="0.2">
      <c r="A23" t="s">
        <v>347</v>
      </c>
      <c r="B23">
        <f>B20*B14</f>
        <v>4822.8378947368419</v>
      </c>
      <c r="C23">
        <f>C20*C14</f>
        <v>4019.031578947368</v>
      </c>
    </row>
    <row r="24" spans="1:3" x14ac:dyDescent="0.2">
      <c r="A24" t="s">
        <v>348</v>
      </c>
      <c r="B24">
        <f>B21-B22-B23</f>
        <v>3215.2252631578958</v>
      </c>
      <c r="C24">
        <f>C21-C22-C23</f>
        <v>3935.3017543859642</v>
      </c>
    </row>
    <row r="25" spans="1:3" x14ac:dyDescent="0.2">
      <c r="A25" s="25" t="s">
        <v>349</v>
      </c>
      <c r="B25" s="28">
        <f>B24-B15</f>
        <v>-3284.7747368421042</v>
      </c>
      <c r="C25" s="28">
        <f>C24-C15</f>
        <v>-2564.6982456140358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106EC-8628-4338-8B48-740AFD8EB2E7}">
  <sheetPr codeName="Sheet2"/>
  <dimension ref="A1:AJ105"/>
  <sheetViews>
    <sheetView zoomScale="85" zoomScaleNormal="85" workbookViewId="0">
      <selection activeCell="B4" sqref="B4"/>
    </sheetView>
  </sheetViews>
  <sheetFormatPr defaultRowHeight="14.25" x14ac:dyDescent="0.2"/>
  <cols>
    <col min="4" max="4" width="14.875" customWidth="1"/>
    <col min="5" max="5" width="17.375" customWidth="1"/>
    <col min="6" max="7" width="14.625" customWidth="1"/>
    <col min="8" max="9" width="12.375" customWidth="1"/>
    <col min="10" max="10" width="13.625" customWidth="1"/>
    <col min="11" max="11" width="16.625" customWidth="1"/>
    <col min="12" max="12" width="13.625" customWidth="1"/>
    <col min="13" max="13" width="14.125" customWidth="1"/>
    <col min="14" max="14" width="21.625" customWidth="1"/>
    <col min="15" max="15" width="14.75" customWidth="1"/>
  </cols>
  <sheetData>
    <row r="1" spans="1:36" x14ac:dyDescent="0.2">
      <c r="A1" s="24" t="s">
        <v>121</v>
      </c>
      <c r="B1" s="24" t="s">
        <v>120</v>
      </c>
      <c r="C1" s="22"/>
      <c r="D1" s="24" t="s">
        <v>221</v>
      </c>
      <c r="E1" s="24" t="s">
        <v>289</v>
      </c>
      <c r="F1" s="24" t="s">
        <v>290</v>
      </c>
      <c r="G1" s="24" t="s">
        <v>291</v>
      </c>
      <c r="H1" s="24" t="s">
        <v>292</v>
      </c>
      <c r="I1" s="24" t="s">
        <v>293</v>
      </c>
      <c r="J1" s="24" t="s">
        <v>294</v>
      </c>
      <c r="K1" s="24" t="s">
        <v>295</v>
      </c>
      <c r="L1" s="24" t="s">
        <v>296</v>
      </c>
      <c r="M1" s="24" t="s">
        <v>297</v>
      </c>
      <c r="N1" s="24"/>
      <c r="O1" s="24"/>
      <c r="P1" s="24"/>
      <c r="Q1" s="24"/>
      <c r="R1" s="24"/>
      <c r="S1" s="24"/>
      <c r="T1" s="24"/>
      <c r="U1" s="24"/>
      <c r="V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x14ac:dyDescent="0.2">
      <c r="A2" s="24" t="s">
        <v>122</v>
      </c>
      <c r="B2" s="24">
        <v>100</v>
      </c>
      <c r="C2" s="23"/>
      <c r="D2" s="24" t="s">
        <v>222</v>
      </c>
      <c r="E2" s="24" t="s">
        <v>298</v>
      </c>
      <c r="F2" s="24" t="s">
        <v>299</v>
      </c>
      <c r="G2" s="24" t="s">
        <v>300</v>
      </c>
      <c r="H2" s="24" t="s">
        <v>301</v>
      </c>
      <c r="I2" s="24" t="s">
        <v>302</v>
      </c>
      <c r="J2" s="24" t="s">
        <v>303</v>
      </c>
      <c r="K2" s="24" t="s">
        <v>304</v>
      </c>
      <c r="L2" s="24" t="s">
        <v>305</v>
      </c>
      <c r="M2" s="24" t="s">
        <v>306</v>
      </c>
      <c r="N2" s="24"/>
      <c r="O2" s="24"/>
      <c r="P2" s="24"/>
      <c r="Q2" s="24"/>
      <c r="R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</row>
    <row r="3" spans="1:36" x14ac:dyDescent="0.2">
      <c r="A3" s="24" t="s">
        <v>123</v>
      </c>
      <c r="B3" s="24">
        <v>100</v>
      </c>
      <c r="C3" s="23"/>
      <c r="D3" s="24" t="s">
        <v>264</v>
      </c>
      <c r="E3" s="24" t="s">
        <v>307</v>
      </c>
      <c r="F3" s="24" t="s">
        <v>307</v>
      </c>
      <c r="G3" s="24" t="s">
        <v>307</v>
      </c>
      <c r="H3" s="24" t="s">
        <v>307</v>
      </c>
      <c r="I3" s="24" t="s">
        <v>307</v>
      </c>
      <c r="J3" s="24" t="s">
        <v>307</v>
      </c>
      <c r="K3" s="24" t="s">
        <v>307</v>
      </c>
      <c r="L3" s="24" t="s">
        <v>307</v>
      </c>
      <c r="M3" s="24" t="s">
        <v>307</v>
      </c>
      <c r="N3" s="24"/>
      <c r="O3" s="24"/>
      <c r="P3" s="24"/>
      <c r="Q3" s="24"/>
      <c r="R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6" x14ac:dyDescent="0.2">
      <c r="A4" s="24" t="s">
        <v>124</v>
      </c>
      <c r="B4" s="24">
        <v>100</v>
      </c>
      <c r="C4" s="23"/>
      <c r="D4" s="24" t="s">
        <v>265</v>
      </c>
      <c r="E4" s="24">
        <v>20000</v>
      </c>
      <c r="F4" s="24">
        <v>50000</v>
      </c>
      <c r="G4" s="24">
        <v>80000</v>
      </c>
      <c r="H4" s="24">
        <v>100000</v>
      </c>
      <c r="I4" s="24">
        <v>200000</v>
      </c>
      <c r="J4" s="24">
        <v>200000</v>
      </c>
      <c r="K4" s="24">
        <v>300000</v>
      </c>
      <c r="L4" s="24">
        <v>300000</v>
      </c>
      <c r="M4" s="24">
        <v>400000</v>
      </c>
      <c r="N4" s="24"/>
      <c r="O4" s="24"/>
      <c r="P4" s="24"/>
      <c r="Q4" s="24"/>
      <c r="R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</row>
    <row r="5" spans="1:36" x14ac:dyDescent="0.2">
      <c r="A5" s="24" t="s">
        <v>125</v>
      </c>
      <c r="B5" s="24">
        <v>100</v>
      </c>
      <c r="C5" s="23"/>
      <c r="D5" s="24" t="s">
        <v>266</v>
      </c>
      <c r="E5" s="24" t="s">
        <v>308</v>
      </c>
      <c r="F5" s="24" t="s">
        <v>308</v>
      </c>
      <c r="G5" s="24" t="s">
        <v>308</v>
      </c>
      <c r="H5" s="24" t="s">
        <v>308</v>
      </c>
      <c r="I5" s="24" t="s">
        <v>308</v>
      </c>
      <c r="J5" s="24" t="s">
        <v>308</v>
      </c>
      <c r="K5" s="24" t="s">
        <v>308</v>
      </c>
      <c r="L5" s="24" t="s">
        <v>308</v>
      </c>
      <c r="M5" s="24" t="s">
        <v>308</v>
      </c>
      <c r="N5" s="24"/>
      <c r="O5" s="24"/>
      <c r="P5" s="24"/>
      <c r="Q5" s="24"/>
      <c r="R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</row>
    <row r="6" spans="1:36" x14ac:dyDescent="0.2">
      <c r="A6" s="24" t="s">
        <v>126</v>
      </c>
      <c r="B6" s="24">
        <v>100</v>
      </c>
      <c r="C6" s="23"/>
      <c r="D6" s="24" t="s">
        <v>267</v>
      </c>
      <c r="E6" s="24">
        <v>4</v>
      </c>
      <c r="F6" s="24">
        <v>8</v>
      </c>
      <c r="G6" s="24">
        <v>12</v>
      </c>
      <c r="H6" s="24">
        <v>40</v>
      </c>
      <c r="I6" s="24">
        <v>60</v>
      </c>
      <c r="J6" s="24">
        <v>90</v>
      </c>
      <c r="K6" s="24">
        <v>120</v>
      </c>
      <c r="L6" s="24">
        <v>160</v>
      </c>
      <c r="M6" s="24">
        <v>0</v>
      </c>
      <c r="N6" s="24"/>
      <c r="O6" s="24"/>
      <c r="P6" s="24"/>
      <c r="Q6" s="24"/>
      <c r="R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</row>
    <row r="7" spans="1:36" x14ac:dyDescent="0.2">
      <c r="A7" s="24" t="s">
        <v>127</v>
      </c>
      <c r="B7" s="24">
        <v>100</v>
      </c>
      <c r="C7" s="23"/>
      <c r="D7" s="24" t="s">
        <v>268</v>
      </c>
      <c r="E7" s="24" t="s">
        <v>309</v>
      </c>
      <c r="F7" s="24" t="s">
        <v>309</v>
      </c>
      <c r="G7" s="24" t="s">
        <v>309</v>
      </c>
      <c r="H7" s="24" t="s">
        <v>309</v>
      </c>
      <c r="I7" s="24" t="s">
        <v>309</v>
      </c>
      <c r="J7" s="24" t="s">
        <v>309</v>
      </c>
      <c r="K7" s="24" t="s">
        <v>309</v>
      </c>
      <c r="L7" s="24" t="s">
        <v>309</v>
      </c>
      <c r="M7" s="24" t="s">
        <v>309</v>
      </c>
      <c r="N7" s="24"/>
      <c r="O7" s="24"/>
      <c r="P7" s="24"/>
      <c r="Q7" s="24"/>
      <c r="R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36" x14ac:dyDescent="0.2">
      <c r="A8" s="24" t="s">
        <v>128</v>
      </c>
      <c r="B8" s="24">
        <v>100</v>
      </c>
      <c r="C8" s="23"/>
      <c r="D8" s="24" t="s">
        <v>269</v>
      </c>
      <c r="E8" s="24">
        <v>0</v>
      </c>
      <c r="F8" s="24">
        <v>0</v>
      </c>
      <c r="G8" s="24">
        <v>10</v>
      </c>
      <c r="H8" s="24">
        <v>30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/>
      <c r="O8" s="24"/>
      <c r="P8" s="24"/>
      <c r="Q8" s="24"/>
      <c r="R8" s="24"/>
      <c r="S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</row>
    <row r="9" spans="1:36" x14ac:dyDescent="0.2">
      <c r="A9" s="24" t="s">
        <v>129</v>
      </c>
      <c r="B9" s="24">
        <v>100</v>
      </c>
      <c r="C9" s="23"/>
      <c r="D9" s="24" t="s">
        <v>270</v>
      </c>
      <c r="E9" s="24" t="s">
        <v>310</v>
      </c>
      <c r="F9" s="24" t="s">
        <v>310</v>
      </c>
      <c r="G9" s="24" t="s">
        <v>310</v>
      </c>
      <c r="H9" s="24" t="s">
        <v>310</v>
      </c>
      <c r="I9" s="24" t="s">
        <v>310</v>
      </c>
      <c r="J9" s="24" t="s">
        <v>310</v>
      </c>
      <c r="K9" s="24" t="s">
        <v>310</v>
      </c>
      <c r="L9" s="24" t="s">
        <v>310</v>
      </c>
      <c r="M9" s="24" t="s">
        <v>310</v>
      </c>
      <c r="N9" s="24"/>
      <c r="O9" s="24"/>
      <c r="P9" s="24"/>
      <c r="Q9" s="24"/>
      <c r="R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</row>
    <row r="10" spans="1:36" x14ac:dyDescent="0.2">
      <c r="A10" s="24" t="s">
        <v>130</v>
      </c>
      <c r="B10" s="24">
        <v>100</v>
      </c>
      <c r="C10" s="23"/>
      <c r="D10" s="24" t="s">
        <v>271</v>
      </c>
      <c r="E10" s="24">
        <v>0</v>
      </c>
      <c r="F10" s="24">
        <v>0</v>
      </c>
      <c r="G10" s="24">
        <v>0</v>
      </c>
      <c r="H10" s="24">
        <v>0</v>
      </c>
      <c r="I10" s="24">
        <v>40</v>
      </c>
      <c r="J10" s="24">
        <v>60</v>
      </c>
      <c r="K10" s="24">
        <v>0</v>
      </c>
      <c r="L10" s="24">
        <v>0</v>
      </c>
      <c r="M10" s="24">
        <v>0</v>
      </c>
      <c r="N10" s="24"/>
      <c r="O10" s="24"/>
      <c r="P10" s="24"/>
      <c r="Q10" s="24"/>
      <c r="R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36" x14ac:dyDescent="0.2">
      <c r="A11" s="24" t="s">
        <v>131</v>
      </c>
      <c r="B11" s="24">
        <v>100</v>
      </c>
      <c r="C11" s="23"/>
      <c r="D11" s="24" t="s">
        <v>272</v>
      </c>
      <c r="E11" s="24" t="s">
        <v>311</v>
      </c>
      <c r="F11" s="24" t="s">
        <v>311</v>
      </c>
      <c r="G11" s="24" t="s">
        <v>311</v>
      </c>
      <c r="H11" s="24" t="s">
        <v>311</v>
      </c>
      <c r="I11" s="24" t="s">
        <v>311</v>
      </c>
      <c r="J11" s="24" t="s">
        <v>311</v>
      </c>
      <c r="K11" s="24" t="s">
        <v>311</v>
      </c>
      <c r="L11" s="24" t="s">
        <v>311</v>
      </c>
      <c r="M11" s="24" t="s">
        <v>311</v>
      </c>
      <c r="N11" s="24"/>
      <c r="O11" s="24"/>
      <c r="P11" s="24"/>
      <c r="Q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</row>
    <row r="12" spans="1:36" x14ac:dyDescent="0.2">
      <c r="A12" s="24" t="s">
        <v>132</v>
      </c>
      <c r="B12" s="24">
        <v>300</v>
      </c>
      <c r="C12" s="23"/>
      <c r="D12" s="24" t="s">
        <v>273</v>
      </c>
      <c r="E12" s="24">
        <v>0</v>
      </c>
      <c r="F12" s="24">
        <v>0</v>
      </c>
      <c r="G12" s="24">
        <v>0</v>
      </c>
      <c r="H12" s="24">
        <v>0</v>
      </c>
      <c r="I12" s="24">
        <v>30</v>
      </c>
      <c r="J12" s="24">
        <v>0</v>
      </c>
      <c r="K12" s="24">
        <v>0</v>
      </c>
      <c r="L12" s="24">
        <v>0</v>
      </c>
      <c r="M12" s="24">
        <v>0</v>
      </c>
      <c r="N12" s="24"/>
      <c r="O12" s="24"/>
      <c r="P12" s="24"/>
      <c r="Q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</row>
    <row r="13" spans="1:36" x14ac:dyDescent="0.2">
      <c r="A13" s="24" t="s">
        <v>133</v>
      </c>
      <c r="B13" s="24">
        <v>300</v>
      </c>
      <c r="C13" s="23"/>
      <c r="D13" s="24" t="s">
        <v>274</v>
      </c>
      <c r="E13" s="24" t="s">
        <v>312</v>
      </c>
      <c r="F13" s="24" t="s">
        <v>312</v>
      </c>
      <c r="G13" s="24" t="s">
        <v>312</v>
      </c>
      <c r="H13" s="24" t="s">
        <v>312</v>
      </c>
      <c r="I13" s="24" t="s">
        <v>312</v>
      </c>
      <c r="J13" s="24" t="s">
        <v>312</v>
      </c>
      <c r="K13" s="24" t="s">
        <v>312</v>
      </c>
      <c r="L13" s="24" t="s">
        <v>312</v>
      </c>
      <c r="M13" s="24" t="s">
        <v>312</v>
      </c>
      <c r="N13" s="24"/>
      <c r="O13" s="24"/>
      <c r="P13" s="24"/>
      <c r="Q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</row>
    <row r="14" spans="1:36" x14ac:dyDescent="0.2">
      <c r="A14" s="24" t="s">
        <v>134</v>
      </c>
      <c r="B14" s="24">
        <v>300</v>
      </c>
      <c r="C14" s="23"/>
      <c r="D14" s="24" t="s">
        <v>275</v>
      </c>
      <c r="E14" s="24">
        <v>0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K14" s="24">
        <v>80</v>
      </c>
      <c r="L14" s="24">
        <v>0</v>
      </c>
      <c r="M14" s="24">
        <v>0</v>
      </c>
      <c r="O14" s="24"/>
      <c r="P14" s="24"/>
      <c r="Q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</row>
    <row r="15" spans="1:36" x14ac:dyDescent="0.2">
      <c r="A15" s="24" t="s">
        <v>135</v>
      </c>
      <c r="B15" s="24">
        <v>300</v>
      </c>
      <c r="C15" s="23"/>
      <c r="D15" s="24" t="s">
        <v>276</v>
      </c>
      <c r="E15" s="24" t="s">
        <v>280</v>
      </c>
      <c r="F15" s="24" t="s">
        <v>280</v>
      </c>
      <c r="G15" s="24" t="s">
        <v>280</v>
      </c>
      <c r="H15" s="24" t="s">
        <v>280</v>
      </c>
      <c r="I15" s="24" t="s">
        <v>280</v>
      </c>
      <c r="J15" s="24" t="s">
        <v>280</v>
      </c>
      <c r="K15" s="24" t="s">
        <v>280</v>
      </c>
      <c r="L15" s="24" t="s">
        <v>280</v>
      </c>
      <c r="M15" s="24" t="s">
        <v>280</v>
      </c>
      <c r="O15" s="24"/>
      <c r="P15" s="24"/>
      <c r="Q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</row>
    <row r="16" spans="1:36" x14ac:dyDescent="0.2">
      <c r="A16" s="24" t="s">
        <v>136</v>
      </c>
      <c r="B16" s="24">
        <v>300</v>
      </c>
      <c r="C16" s="23"/>
      <c r="D16" s="24" t="s">
        <v>277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30</v>
      </c>
      <c r="L16" s="24">
        <v>0</v>
      </c>
      <c r="M16" s="24">
        <v>0</v>
      </c>
      <c r="O16" s="24"/>
      <c r="P16" s="24"/>
      <c r="Q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</row>
    <row r="17" spans="1:36" x14ac:dyDescent="0.2">
      <c r="A17" s="24" t="s">
        <v>137</v>
      </c>
      <c r="B17" s="24">
        <v>300</v>
      </c>
      <c r="C17" s="23"/>
      <c r="D17" s="24" t="s">
        <v>278</v>
      </c>
      <c r="E17" s="24" t="s">
        <v>313</v>
      </c>
      <c r="F17" s="24" t="s">
        <v>313</v>
      </c>
      <c r="G17" s="24" t="s">
        <v>313</v>
      </c>
      <c r="H17" s="24" t="s">
        <v>313</v>
      </c>
      <c r="I17" s="24" t="s">
        <v>313</v>
      </c>
      <c r="J17" s="24" t="s">
        <v>313</v>
      </c>
      <c r="K17" s="24" t="s">
        <v>313</v>
      </c>
      <c r="L17" s="24" t="s">
        <v>313</v>
      </c>
      <c r="M17" s="24" t="s">
        <v>313</v>
      </c>
      <c r="O17" s="24"/>
      <c r="P17" s="24"/>
      <c r="Q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</row>
    <row r="18" spans="1:36" x14ac:dyDescent="0.2">
      <c r="A18" s="24" t="s">
        <v>138</v>
      </c>
      <c r="B18" s="24">
        <v>300</v>
      </c>
      <c r="C18" s="23"/>
      <c r="D18" s="24" t="s">
        <v>279</v>
      </c>
      <c r="E18" s="24">
        <v>0</v>
      </c>
      <c r="F18" s="24">
        <v>0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105</v>
      </c>
      <c r="M18" s="24">
        <v>0</v>
      </c>
      <c r="O18" s="24"/>
      <c r="P18" s="24"/>
      <c r="Q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</row>
    <row r="19" spans="1:36" x14ac:dyDescent="0.2">
      <c r="A19" s="24" t="s">
        <v>139</v>
      </c>
      <c r="B19" s="24">
        <v>300</v>
      </c>
      <c r="C19" s="23"/>
      <c r="D19" s="24" t="s">
        <v>282</v>
      </c>
      <c r="E19" s="24" t="s">
        <v>281</v>
      </c>
      <c r="F19" s="24" t="s">
        <v>281</v>
      </c>
      <c r="G19" s="24" t="s">
        <v>281</v>
      </c>
      <c r="H19" s="24" t="s">
        <v>281</v>
      </c>
      <c r="I19" s="24" t="s">
        <v>281</v>
      </c>
      <c r="J19" s="24" t="s">
        <v>281</v>
      </c>
      <c r="K19" s="24" t="s">
        <v>281</v>
      </c>
      <c r="L19" s="24" t="s">
        <v>281</v>
      </c>
      <c r="M19" s="24" t="s">
        <v>281</v>
      </c>
      <c r="O19" s="24"/>
      <c r="P19" s="24"/>
      <c r="Q19" s="24"/>
    </row>
    <row r="20" spans="1:36" x14ac:dyDescent="0.2">
      <c r="A20" s="24" t="s">
        <v>140</v>
      </c>
      <c r="B20" s="24">
        <v>300</v>
      </c>
      <c r="C20" s="23"/>
      <c r="D20" s="24" t="s">
        <v>283</v>
      </c>
      <c r="E20" s="24">
        <v>0</v>
      </c>
      <c r="F20" s="24">
        <v>0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30</v>
      </c>
      <c r="M20" s="24">
        <v>0</v>
      </c>
      <c r="O20" s="24"/>
      <c r="P20" s="24"/>
      <c r="Q20" s="24"/>
    </row>
    <row r="21" spans="1:36" x14ac:dyDescent="0.2">
      <c r="A21" s="24" t="s">
        <v>141</v>
      </c>
      <c r="B21" s="24">
        <v>300</v>
      </c>
      <c r="C21" s="23"/>
      <c r="D21" s="24" t="s">
        <v>284</v>
      </c>
      <c r="E21" s="24" t="s">
        <v>314</v>
      </c>
      <c r="F21" s="24" t="s">
        <v>314</v>
      </c>
      <c r="G21" s="24" t="s">
        <v>314</v>
      </c>
      <c r="H21" s="24" t="s">
        <v>314</v>
      </c>
      <c r="I21" s="24" t="s">
        <v>314</v>
      </c>
      <c r="J21" s="24" t="s">
        <v>314</v>
      </c>
      <c r="K21" s="24" t="s">
        <v>314</v>
      </c>
      <c r="L21" s="24" t="s">
        <v>314</v>
      </c>
      <c r="M21" s="24" t="s">
        <v>314</v>
      </c>
      <c r="O21" s="24"/>
      <c r="P21" s="24"/>
      <c r="Q21" s="24"/>
    </row>
    <row r="22" spans="1:36" x14ac:dyDescent="0.2">
      <c r="A22" s="24" t="s">
        <v>142</v>
      </c>
      <c r="B22" s="24">
        <v>1200</v>
      </c>
      <c r="C22" s="23"/>
      <c r="D22" s="24" t="s">
        <v>285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160</v>
      </c>
      <c r="O22" s="24"/>
      <c r="P22" s="24"/>
      <c r="Q22" s="24"/>
    </row>
    <row r="23" spans="1:36" x14ac:dyDescent="0.2">
      <c r="A23" s="24" t="s">
        <v>143</v>
      </c>
      <c r="B23" s="24">
        <v>1200</v>
      </c>
      <c r="C23" s="23"/>
      <c r="D23" s="24" t="s">
        <v>286</v>
      </c>
      <c r="E23" s="24" t="s">
        <v>288</v>
      </c>
      <c r="F23" s="24" t="s">
        <v>288</v>
      </c>
      <c r="G23" s="24" t="s">
        <v>288</v>
      </c>
      <c r="H23" s="24" t="s">
        <v>288</v>
      </c>
      <c r="I23" s="24" t="s">
        <v>288</v>
      </c>
      <c r="J23" s="24" t="s">
        <v>288</v>
      </c>
      <c r="K23" s="24" t="s">
        <v>288</v>
      </c>
      <c r="L23" s="24" t="s">
        <v>288</v>
      </c>
      <c r="M23" s="24" t="s">
        <v>288</v>
      </c>
      <c r="O23" s="24"/>
      <c r="P23" s="24"/>
      <c r="Q23" s="24"/>
    </row>
    <row r="24" spans="1:36" x14ac:dyDescent="0.2">
      <c r="A24" s="24" t="s">
        <v>144</v>
      </c>
      <c r="B24" s="24">
        <v>1200</v>
      </c>
      <c r="C24" s="23"/>
      <c r="D24" s="24" t="s">
        <v>287</v>
      </c>
      <c r="E24" s="24">
        <v>0</v>
      </c>
      <c r="F24" s="24">
        <v>0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120</v>
      </c>
      <c r="O24" s="24"/>
      <c r="P24" s="24"/>
      <c r="Q24" s="24"/>
    </row>
    <row r="25" spans="1:36" x14ac:dyDescent="0.2">
      <c r="A25" s="24" t="s">
        <v>145</v>
      </c>
      <c r="B25" s="24">
        <v>1200</v>
      </c>
      <c r="C25" s="23"/>
      <c r="O25" s="24"/>
      <c r="P25" s="24"/>
      <c r="Q25" s="24"/>
    </row>
    <row r="26" spans="1:36" x14ac:dyDescent="0.2">
      <c r="A26" s="24" t="s">
        <v>146</v>
      </c>
      <c r="B26" s="24">
        <v>1200</v>
      </c>
      <c r="C26" s="23"/>
      <c r="D26" s="24" t="s">
        <v>221</v>
      </c>
      <c r="E26" s="24" t="s">
        <v>224</v>
      </c>
      <c r="F26" s="24" t="s">
        <v>226</v>
      </c>
      <c r="G26" s="24" t="s">
        <v>228</v>
      </c>
      <c r="H26" s="24" t="s">
        <v>230</v>
      </c>
      <c r="I26" s="24" t="s">
        <v>232</v>
      </c>
      <c r="J26" s="24" t="s">
        <v>234</v>
      </c>
      <c r="K26" s="24" t="s">
        <v>236</v>
      </c>
      <c r="L26" s="24" t="s">
        <v>238</v>
      </c>
      <c r="M26" s="24" t="s">
        <v>240</v>
      </c>
      <c r="N26" s="24" t="s">
        <v>242</v>
      </c>
      <c r="O26" s="24" t="s">
        <v>244</v>
      </c>
      <c r="P26" s="24" t="s">
        <v>246</v>
      </c>
      <c r="Q26" s="24" t="s">
        <v>248</v>
      </c>
      <c r="R26" s="24" t="s">
        <v>250</v>
      </c>
      <c r="S26" s="24" t="s">
        <v>252</v>
      </c>
      <c r="T26" s="24" t="s">
        <v>254</v>
      </c>
      <c r="U26" s="24" t="s">
        <v>256</v>
      </c>
    </row>
    <row r="27" spans="1:36" x14ac:dyDescent="0.2">
      <c r="A27" s="24" t="s">
        <v>147</v>
      </c>
      <c r="B27" s="24">
        <v>1600</v>
      </c>
      <c r="C27" s="23"/>
      <c r="D27" s="24" t="s">
        <v>223</v>
      </c>
      <c r="E27" s="24" t="s">
        <v>225</v>
      </c>
      <c r="F27" s="24" t="s">
        <v>227</v>
      </c>
      <c r="G27" s="24" t="s">
        <v>229</v>
      </c>
      <c r="H27" s="24" t="s">
        <v>231</v>
      </c>
      <c r="I27" s="24" t="s">
        <v>233</v>
      </c>
      <c r="J27" s="24" t="s">
        <v>235</v>
      </c>
      <c r="K27" s="24" t="s">
        <v>237</v>
      </c>
      <c r="L27" s="24" t="s">
        <v>239</v>
      </c>
      <c r="M27" s="24" t="s">
        <v>241</v>
      </c>
      <c r="N27" s="24" t="s">
        <v>243</v>
      </c>
      <c r="O27" s="24" t="s">
        <v>245</v>
      </c>
      <c r="P27" s="24" t="s">
        <v>247</v>
      </c>
      <c r="Q27" s="24" t="s">
        <v>249</v>
      </c>
      <c r="R27" s="24" t="s">
        <v>251</v>
      </c>
      <c r="S27" s="24" t="s">
        <v>253</v>
      </c>
      <c r="T27" s="24" t="s">
        <v>255</v>
      </c>
      <c r="U27" s="24" t="s">
        <v>257</v>
      </c>
    </row>
    <row r="28" spans="1:36" x14ac:dyDescent="0.2">
      <c r="A28" s="24" t="s">
        <v>148</v>
      </c>
      <c r="B28" s="24">
        <v>2000</v>
      </c>
      <c r="C28" s="23"/>
      <c r="D28" t="s">
        <v>264</v>
      </c>
      <c r="E28" s="24" t="s">
        <v>263</v>
      </c>
      <c r="F28" s="24" t="s">
        <v>263</v>
      </c>
      <c r="G28" s="24" t="s">
        <v>263</v>
      </c>
      <c r="H28" s="24" t="s">
        <v>263</v>
      </c>
      <c r="I28" s="24" t="s">
        <v>263</v>
      </c>
      <c r="J28" s="24" t="s">
        <v>263</v>
      </c>
      <c r="K28" s="24" t="s">
        <v>263</v>
      </c>
      <c r="L28" s="24" t="s">
        <v>263</v>
      </c>
      <c r="M28" s="24" t="s">
        <v>263</v>
      </c>
      <c r="N28" s="24" t="s">
        <v>263</v>
      </c>
      <c r="O28" s="24" t="s">
        <v>263</v>
      </c>
      <c r="P28" s="24" t="s">
        <v>263</v>
      </c>
      <c r="Q28" s="24" t="s">
        <v>263</v>
      </c>
      <c r="R28" s="24" t="s">
        <v>263</v>
      </c>
      <c r="S28" s="24" t="s">
        <v>263</v>
      </c>
      <c r="T28" s="24" t="s">
        <v>263</v>
      </c>
      <c r="U28" s="24" t="s">
        <v>263</v>
      </c>
    </row>
    <row r="29" spans="1:36" x14ac:dyDescent="0.2">
      <c r="A29" s="24" t="s">
        <v>149</v>
      </c>
      <c r="B29" s="24">
        <v>2400</v>
      </c>
      <c r="C29" s="23"/>
      <c r="D29" s="24" t="s">
        <v>321</v>
      </c>
      <c r="E29" s="24">
        <v>0</v>
      </c>
      <c r="F29" s="24">
        <v>30000</v>
      </c>
      <c r="G29" s="24">
        <v>50000</v>
      </c>
      <c r="H29" s="24">
        <v>80000</v>
      </c>
      <c r="I29" s="24">
        <v>80000</v>
      </c>
      <c r="J29" s="24">
        <v>80000</v>
      </c>
      <c r="K29" s="24">
        <v>100000</v>
      </c>
      <c r="L29" s="24">
        <v>100000</v>
      </c>
      <c r="M29" s="24">
        <v>100000</v>
      </c>
      <c r="N29" s="24">
        <v>150000</v>
      </c>
      <c r="O29" s="24">
        <v>150000</v>
      </c>
      <c r="P29" s="24">
        <v>150000</v>
      </c>
      <c r="Q29" s="24">
        <v>200000</v>
      </c>
      <c r="R29" s="24">
        <v>300000</v>
      </c>
      <c r="S29" s="24">
        <v>300000</v>
      </c>
      <c r="T29" s="24">
        <v>300000</v>
      </c>
      <c r="U29" s="24">
        <v>350000</v>
      </c>
    </row>
    <row r="30" spans="1:36" x14ac:dyDescent="0.2">
      <c r="A30" s="24" t="s">
        <v>150</v>
      </c>
      <c r="B30" s="24">
        <v>2800</v>
      </c>
      <c r="C30" s="23"/>
      <c r="D30" s="24" t="s">
        <v>266</v>
      </c>
      <c r="E30" s="24" t="s">
        <v>315</v>
      </c>
      <c r="F30" s="24" t="s">
        <v>315</v>
      </c>
      <c r="G30" s="24" t="s">
        <v>315</v>
      </c>
      <c r="H30" s="24" t="s">
        <v>315</v>
      </c>
      <c r="I30" s="24" t="s">
        <v>315</v>
      </c>
      <c r="J30" s="24" t="s">
        <v>315</v>
      </c>
      <c r="K30" s="24" t="s">
        <v>315</v>
      </c>
      <c r="L30" s="24" t="s">
        <v>315</v>
      </c>
      <c r="M30" s="24" t="s">
        <v>315</v>
      </c>
      <c r="N30" s="24" t="s">
        <v>315</v>
      </c>
      <c r="O30" s="24" t="s">
        <v>315</v>
      </c>
      <c r="P30" s="24" t="s">
        <v>315</v>
      </c>
      <c r="Q30" s="24" t="s">
        <v>315</v>
      </c>
      <c r="R30" s="24" t="s">
        <v>315</v>
      </c>
      <c r="S30" s="24" t="s">
        <v>315</v>
      </c>
      <c r="T30" s="24" t="s">
        <v>315</v>
      </c>
      <c r="U30" s="24" t="s">
        <v>315</v>
      </c>
    </row>
    <row r="31" spans="1:36" x14ac:dyDescent="0.2">
      <c r="A31" s="24" t="s">
        <v>151</v>
      </c>
      <c r="B31" s="24">
        <v>3200</v>
      </c>
      <c r="C31" s="23"/>
      <c r="D31" s="24" t="s">
        <v>267</v>
      </c>
      <c r="E31" s="24">
        <v>0</v>
      </c>
      <c r="F31" s="24">
        <v>20</v>
      </c>
      <c r="G31" s="24">
        <v>40</v>
      </c>
      <c r="H31" s="24">
        <v>60</v>
      </c>
      <c r="I31" s="24">
        <v>60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</row>
    <row r="32" spans="1:36" x14ac:dyDescent="0.2">
      <c r="A32" s="24" t="s">
        <v>152</v>
      </c>
      <c r="B32" s="24">
        <v>3500</v>
      </c>
      <c r="C32" s="23"/>
      <c r="D32" s="24" t="s">
        <v>268</v>
      </c>
      <c r="E32" s="24" t="s">
        <v>316</v>
      </c>
      <c r="F32" s="24" t="s">
        <v>316</v>
      </c>
      <c r="G32" s="24" t="s">
        <v>316</v>
      </c>
      <c r="H32" s="24" t="s">
        <v>316</v>
      </c>
      <c r="I32" s="24" t="s">
        <v>316</v>
      </c>
      <c r="J32" s="24" t="s">
        <v>316</v>
      </c>
      <c r="K32" s="24" t="s">
        <v>316</v>
      </c>
      <c r="L32" s="24" t="s">
        <v>316</v>
      </c>
      <c r="M32" s="24" t="s">
        <v>316</v>
      </c>
      <c r="N32" s="24" t="s">
        <v>316</v>
      </c>
      <c r="O32" s="24" t="s">
        <v>316</v>
      </c>
      <c r="P32" s="24" t="s">
        <v>316</v>
      </c>
      <c r="Q32" s="24" t="s">
        <v>316</v>
      </c>
      <c r="R32" s="24" t="s">
        <v>316</v>
      </c>
      <c r="S32" s="24" t="s">
        <v>316</v>
      </c>
      <c r="T32" s="24" t="s">
        <v>316</v>
      </c>
      <c r="U32" s="24" t="s">
        <v>316</v>
      </c>
      <c r="V32" s="24"/>
      <c r="W32" s="24"/>
      <c r="X32" s="24"/>
      <c r="Y32" s="24"/>
      <c r="Z32" s="24"/>
      <c r="AA32" s="24"/>
      <c r="AB32" s="24"/>
      <c r="AC32" s="24"/>
    </row>
    <row r="33" spans="1:29" x14ac:dyDescent="0.2">
      <c r="A33" s="24" t="s">
        <v>153</v>
      </c>
      <c r="B33" s="24">
        <v>3800</v>
      </c>
      <c r="C33" s="23"/>
      <c r="D33" s="24" t="s">
        <v>269</v>
      </c>
      <c r="E33" s="24">
        <v>0</v>
      </c>
      <c r="F33" s="24">
        <v>0</v>
      </c>
      <c r="G33" s="24">
        <v>0</v>
      </c>
      <c r="H33" s="24">
        <v>50</v>
      </c>
      <c r="I33" s="24">
        <v>80</v>
      </c>
      <c r="J33" s="24">
        <v>80</v>
      </c>
      <c r="K33" s="24">
        <v>100</v>
      </c>
      <c r="L33" s="24">
        <v>120</v>
      </c>
      <c r="M33" s="24">
        <v>140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/>
      <c r="W33" s="24"/>
      <c r="X33" s="24"/>
      <c r="Y33" s="24"/>
      <c r="Z33" s="24"/>
      <c r="AA33" s="24"/>
      <c r="AB33" s="24"/>
      <c r="AC33" s="24"/>
    </row>
    <row r="34" spans="1:29" x14ac:dyDescent="0.2">
      <c r="A34" s="24" t="s">
        <v>154</v>
      </c>
      <c r="B34" s="24">
        <v>4100</v>
      </c>
      <c r="C34" s="23"/>
      <c r="D34" s="24" t="s">
        <v>270</v>
      </c>
      <c r="E34" s="24" t="s">
        <v>317</v>
      </c>
      <c r="F34" s="24" t="s">
        <v>317</v>
      </c>
      <c r="G34" s="24" t="s">
        <v>317</v>
      </c>
      <c r="H34" s="24" t="s">
        <v>317</v>
      </c>
      <c r="I34" s="24" t="s">
        <v>317</v>
      </c>
      <c r="J34" s="24" t="s">
        <v>317</v>
      </c>
      <c r="K34" s="24" t="s">
        <v>317</v>
      </c>
      <c r="L34" s="24" t="s">
        <v>317</v>
      </c>
      <c r="M34" s="24" t="s">
        <v>317</v>
      </c>
      <c r="N34" s="24" t="s">
        <v>317</v>
      </c>
      <c r="O34" s="24" t="s">
        <v>317</v>
      </c>
      <c r="P34" s="24" t="s">
        <v>317</v>
      </c>
      <c r="Q34" s="24" t="s">
        <v>317</v>
      </c>
      <c r="R34" s="24" t="s">
        <v>317</v>
      </c>
      <c r="S34" s="24" t="s">
        <v>317</v>
      </c>
      <c r="T34" s="24" t="s">
        <v>317</v>
      </c>
      <c r="U34" s="24" t="s">
        <v>317</v>
      </c>
    </row>
    <row r="35" spans="1:29" x14ac:dyDescent="0.2">
      <c r="A35" s="24" t="s">
        <v>155</v>
      </c>
      <c r="B35" s="24">
        <v>4400</v>
      </c>
      <c r="C35" s="23"/>
      <c r="D35" s="24" t="s">
        <v>271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120</v>
      </c>
      <c r="K35" s="24">
        <v>150</v>
      </c>
      <c r="L35" s="24">
        <v>180</v>
      </c>
      <c r="M35" s="24">
        <v>210</v>
      </c>
      <c r="N35" s="24">
        <v>240</v>
      </c>
      <c r="O35" s="24">
        <v>260</v>
      </c>
      <c r="P35" s="24">
        <v>280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</row>
    <row r="36" spans="1:29" x14ac:dyDescent="0.2">
      <c r="A36" s="24" t="s">
        <v>156</v>
      </c>
      <c r="B36" s="24">
        <v>4700</v>
      </c>
      <c r="C36" s="23"/>
      <c r="D36" s="24" t="s">
        <v>272</v>
      </c>
      <c r="E36" s="24" t="s">
        <v>318</v>
      </c>
      <c r="F36" s="24" t="s">
        <v>318</v>
      </c>
      <c r="G36" s="24" t="s">
        <v>318</v>
      </c>
      <c r="H36" s="24" t="s">
        <v>318</v>
      </c>
      <c r="I36" s="24" t="s">
        <v>318</v>
      </c>
      <c r="J36" s="24" t="s">
        <v>318</v>
      </c>
      <c r="K36" s="24" t="s">
        <v>318</v>
      </c>
      <c r="L36" s="24" t="s">
        <v>318</v>
      </c>
      <c r="M36" s="24" t="s">
        <v>318</v>
      </c>
      <c r="N36" s="24" t="s">
        <v>318</v>
      </c>
      <c r="O36" s="24" t="s">
        <v>318</v>
      </c>
      <c r="P36" s="24" t="s">
        <v>318</v>
      </c>
      <c r="Q36" s="24" t="s">
        <v>318</v>
      </c>
      <c r="R36" s="24" t="s">
        <v>318</v>
      </c>
      <c r="S36" s="24" t="s">
        <v>318</v>
      </c>
      <c r="T36" s="24" t="s">
        <v>318</v>
      </c>
      <c r="U36" s="24" t="s">
        <v>318</v>
      </c>
    </row>
    <row r="37" spans="1:29" x14ac:dyDescent="0.2">
      <c r="A37" s="24" t="s">
        <v>157</v>
      </c>
      <c r="B37" s="24">
        <v>5100</v>
      </c>
      <c r="C37" s="23"/>
      <c r="D37" s="24" t="s">
        <v>273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360</v>
      </c>
      <c r="O37" s="24">
        <v>390</v>
      </c>
      <c r="P37" s="24">
        <v>420</v>
      </c>
      <c r="Q37" s="24">
        <v>440</v>
      </c>
      <c r="R37" s="24">
        <v>460</v>
      </c>
      <c r="S37" s="24">
        <v>480</v>
      </c>
      <c r="T37" s="24">
        <v>0</v>
      </c>
      <c r="U37" s="24">
        <v>0</v>
      </c>
    </row>
    <row r="38" spans="1:29" x14ac:dyDescent="0.2">
      <c r="A38" s="24" t="s">
        <v>158</v>
      </c>
      <c r="B38" s="24">
        <v>5500</v>
      </c>
      <c r="C38" s="23"/>
      <c r="D38" s="24" t="s">
        <v>274</v>
      </c>
      <c r="E38" s="24" t="s">
        <v>319</v>
      </c>
      <c r="F38" s="24" t="s">
        <v>319</v>
      </c>
      <c r="G38" s="24" t="s">
        <v>319</v>
      </c>
      <c r="H38" s="24" t="s">
        <v>319</v>
      </c>
      <c r="I38" s="24" t="s">
        <v>319</v>
      </c>
      <c r="J38" s="24" t="s">
        <v>319</v>
      </c>
      <c r="K38" s="24" t="s">
        <v>319</v>
      </c>
      <c r="L38" s="24" t="s">
        <v>319</v>
      </c>
      <c r="M38" s="24" t="s">
        <v>319</v>
      </c>
      <c r="N38" s="24" t="s">
        <v>319</v>
      </c>
      <c r="O38" s="24" t="s">
        <v>319</v>
      </c>
      <c r="P38" s="24" t="s">
        <v>319</v>
      </c>
      <c r="Q38" s="24" t="s">
        <v>319</v>
      </c>
      <c r="R38" s="24" t="s">
        <v>319</v>
      </c>
      <c r="S38" s="24" t="s">
        <v>319</v>
      </c>
      <c r="T38" s="24" t="s">
        <v>319</v>
      </c>
      <c r="U38" s="24" t="s">
        <v>319</v>
      </c>
    </row>
    <row r="39" spans="1:29" x14ac:dyDescent="0.2">
      <c r="A39" s="24" t="s">
        <v>159</v>
      </c>
      <c r="B39" s="24">
        <v>6000</v>
      </c>
      <c r="C39" s="23"/>
      <c r="D39" s="24" t="s">
        <v>275</v>
      </c>
      <c r="E39" s="24">
        <v>0</v>
      </c>
      <c r="F39" s="24">
        <v>0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660</v>
      </c>
      <c r="R39" s="24">
        <v>690</v>
      </c>
      <c r="S39" s="24">
        <v>720</v>
      </c>
      <c r="T39" s="24">
        <v>600</v>
      </c>
      <c r="U39" s="24">
        <v>750</v>
      </c>
    </row>
    <row r="40" spans="1:29" x14ac:dyDescent="0.2">
      <c r="A40" s="24" t="s">
        <v>160</v>
      </c>
      <c r="B40" s="24">
        <v>6500</v>
      </c>
      <c r="C40" s="23"/>
      <c r="D40" s="24" t="s">
        <v>276</v>
      </c>
      <c r="E40" s="24" t="s">
        <v>320</v>
      </c>
      <c r="F40" s="24" t="s">
        <v>320</v>
      </c>
      <c r="G40" s="24" t="s">
        <v>320</v>
      </c>
      <c r="H40" s="24" t="s">
        <v>320</v>
      </c>
      <c r="I40" s="24" t="s">
        <v>320</v>
      </c>
      <c r="J40" s="24" t="s">
        <v>320</v>
      </c>
      <c r="K40" s="24" t="s">
        <v>320</v>
      </c>
      <c r="L40" s="24" t="s">
        <v>320</v>
      </c>
      <c r="M40" s="24" t="s">
        <v>320</v>
      </c>
      <c r="N40" s="24" t="s">
        <v>320</v>
      </c>
      <c r="O40" s="24" t="s">
        <v>320</v>
      </c>
      <c r="P40" s="24" t="s">
        <v>320</v>
      </c>
      <c r="Q40" s="24" t="s">
        <v>320</v>
      </c>
      <c r="R40" s="24" t="s">
        <v>320</v>
      </c>
      <c r="S40" s="24" t="s">
        <v>320</v>
      </c>
      <c r="T40" s="24" t="s">
        <v>320</v>
      </c>
      <c r="U40" s="24" t="s">
        <v>320</v>
      </c>
    </row>
    <row r="41" spans="1:29" x14ac:dyDescent="0.2">
      <c r="A41" s="24" t="s">
        <v>161</v>
      </c>
      <c r="B41" s="24">
        <v>7000</v>
      </c>
      <c r="C41" s="23"/>
      <c r="D41" s="24" t="s">
        <v>277</v>
      </c>
      <c r="E41" s="24">
        <v>0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900</v>
      </c>
      <c r="U41" s="24">
        <v>1200</v>
      </c>
    </row>
    <row r="42" spans="1:29" x14ac:dyDescent="0.2">
      <c r="A42" s="24" t="s">
        <v>162</v>
      </c>
      <c r="B42" s="24">
        <v>7500</v>
      </c>
      <c r="C42" s="23"/>
      <c r="D42" s="23"/>
      <c r="E42" s="23"/>
      <c r="F42" s="23"/>
      <c r="G42" s="23"/>
    </row>
    <row r="43" spans="1:29" x14ac:dyDescent="0.2">
      <c r="A43" s="24" t="s">
        <v>163</v>
      </c>
      <c r="B43" s="24">
        <v>8000</v>
      </c>
      <c r="C43" s="23"/>
      <c r="D43" s="23"/>
      <c r="E43" s="23"/>
      <c r="F43" s="22"/>
      <c r="G43" s="22"/>
    </row>
    <row r="44" spans="1:29" x14ac:dyDescent="0.2">
      <c r="A44" s="24" t="s">
        <v>164</v>
      </c>
      <c r="B44" s="24">
        <v>8500</v>
      </c>
      <c r="C44" s="23"/>
      <c r="D44" s="23"/>
      <c r="E44" s="23"/>
      <c r="F44" s="22"/>
      <c r="G44" s="22"/>
    </row>
    <row r="45" spans="1:29" x14ac:dyDescent="0.2">
      <c r="A45" s="24" t="s">
        <v>165</v>
      </c>
      <c r="B45" s="24">
        <v>9000</v>
      </c>
      <c r="C45" s="23"/>
      <c r="D45" s="23"/>
      <c r="E45" s="23"/>
      <c r="F45" s="22"/>
      <c r="G45" s="22"/>
    </row>
    <row r="46" spans="1:29" x14ac:dyDescent="0.2">
      <c r="A46" s="24" t="s">
        <v>166</v>
      </c>
      <c r="B46" s="24">
        <v>9500</v>
      </c>
      <c r="C46" s="23"/>
      <c r="D46" s="23"/>
      <c r="E46" s="23"/>
      <c r="F46" s="22"/>
      <c r="G46" s="22"/>
    </row>
    <row r="47" spans="1:29" x14ac:dyDescent="0.2">
      <c r="A47" s="24" t="s">
        <v>167</v>
      </c>
      <c r="B47" s="24">
        <v>10100</v>
      </c>
      <c r="C47" s="23"/>
      <c r="D47" s="23"/>
      <c r="E47" s="23"/>
      <c r="F47" s="23"/>
      <c r="G47" s="23"/>
    </row>
    <row r="48" spans="1:29" x14ac:dyDescent="0.2">
      <c r="A48" s="24" t="s">
        <v>168</v>
      </c>
      <c r="B48" s="24">
        <v>10700</v>
      </c>
      <c r="C48" s="23"/>
      <c r="D48" s="23"/>
      <c r="E48" s="23"/>
      <c r="F48" s="22"/>
      <c r="G48" s="22"/>
    </row>
    <row r="49" spans="1:7" x14ac:dyDescent="0.2">
      <c r="A49" s="24" t="s">
        <v>169</v>
      </c>
      <c r="B49" s="24">
        <v>11400</v>
      </c>
      <c r="C49" s="23"/>
      <c r="D49" s="23"/>
      <c r="E49" s="23"/>
      <c r="F49" s="22"/>
      <c r="G49" s="22"/>
    </row>
    <row r="50" spans="1:7" x14ac:dyDescent="0.2">
      <c r="A50" s="24" t="s">
        <v>170</v>
      </c>
      <c r="B50" s="24">
        <v>12100</v>
      </c>
      <c r="C50" s="23"/>
      <c r="D50" s="23"/>
      <c r="E50" s="23"/>
      <c r="F50" s="22"/>
      <c r="G50" s="22"/>
    </row>
    <row r="51" spans="1:7" x14ac:dyDescent="0.2">
      <c r="A51" s="24" t="s">
        <v>171</v>
      </c>
      <c r="B51" s="24">
        <v>12800</v>
      </c>
      <c r="C51" s="23"/>
      <c r="D51" s="23"/>
      <c r="E51" s="23"/>
      <c r="F51" s="23"/>
      <c r="G51" s="23"/>
    </row>
    <row r="52" spans="1:7" x14ac:dyDescent="0.2">
      <c r="A52" s="24" t="s">
        <v>172</v>
      </c>
      <c r="B52" s="24">
        <v>13500</v>
      </c>
      <c r="C52" s="23"/>
      <c r="D52" s="23"/>
      <c r="E52" s="23"/>
      <c r="F52" s="22"/>
      <c r="G52" s="22"/>
    </row>
    <row r="53" spans="1:7" x14ac:dyDescent="0.2">
      <c r="A53" s="24" t="s">
        <v>173</v>
      </c>
      <c r="B53" s="24">
        <v>14200</v>
      </c>
      <c r="C53" s="23"/>
      <c r="D53" s="23"/>
      <c r="E53" s="23"/>
      <c r="F53" s="22"/>
      <c r="G53" s="22"/>
    </row>
    <row r="54" spans="1:7" x14ac:dyDescent="0.2">
      <c r="A54" s="24" t="s">
        <v>174</v>
      </c>
      <c r="B54" s="24">
        <v>14900</v>
      </c>
      <c r="C54" s="23"/>
      <c r="D54" s="23"/>
      <c r="E54" s="23"/>
      <c r="F54" s="22"/>
      <c r="G54" s="22"/>
    </row>
    <row r="55" spans="1:7" x14ac:dyDescent="0.2">
      <c r="A55" s="24" t="s">
        <v>175</v>
      </c>
      <c r="B55" s="24">
        <v>15600</v>
      </c>
      <c r="C55" s="23"/>
      <c r="D55" s="23"/>
      <c r="E55" s="23"/>
      <c r="F55" s="23"/>
      <c r="G55" s="23"/>
    </row>
    <row r="56" spans="1:7" x14ac:dyDescent="0.2">
      <c r="A56" s="24" t="s">
        <v>176</v>
      </c>
      <c r="B56" s="24">
        <v>16300</v>
      </c>
      <c r="C56" s="23"/>
      <c r="D56" s="23"/>
      <c r="E56" s="23"/>
      <c r="F56" s="23"/>
      <c r="G56" s="23"/>
    </row>
    <row r="57" spans="1:7" x14ac:dyDescent="0.2">
      <c r="A57" s="24" t="s">
        <v>177</v>
      </c>
      <c r="B57" s="24">
        <v>17100</v>
      </c>
      <c r="C57" s="23"/>
      <c r="D57" s="23"/>
      <c r="E57" s="23"/>
      <c r="F57" s="22"/>
      <c r="G57" s="22"/>
    </row>
    <row r="58" spans="1:7" x14ac:dyDescent="0.2">
      <c r="A58" s="24" t="s">
        <v>178</v>
      </c>
      <c r="B58" s="24">
        <v>17900</v>
      </c>
      <c r="C58" s="23"/>
      <c r="D58" s="23"/>
      <c r="E58" s="23"/>
      <c r="F58" s="22"/>
      <c r="G58" s="22"/>
    </row>
    <row r="59" spans="1:7" x14ac:dyDescent="0.2">
      <c r="A59" s="24" t="s">
        <v>179</v>
      </c>
      <c r="B59" s="24">
        <v>18800</v>
      </c>
      <c r="C59" s="23"/>
      <c r="D59" s="23"/>
      <c r="E59" s="23"/>
      <c r="F59" s="22"/>
      <c r="G59" s="22"/>
    </row>
    <row r="60" spans="1:7" x14ac:dyDescent="0.2">
      <c r="A60" s="24" t="s">
        <v>180</v>
      </c>
      <c r="B60" s="24">
        <v>19700</v>
      </c>
      <c r="C60" s="23"/>
      <c r="D60" s="23"/>
      <c r="E60" s="23"/>
      <c r="F60" s="22"/>
      <c r="G60" s="22"/>
    </row>
    <row r="61" spans="1:7" x14ac:dyDescent="0.2">
      <c r="A61" s="24" t="s">
        <v>181</v>
      </c>
      <c r="B61" s="24">
        <v>20600</v>
      </c>
      <c r="C61" s="23"/>
      <c r="D61" s="23"/>
      <c r="E61" s="23"/>
      <c r="F61" s="22"/>
      <c r="G61" s="22"/>
    </row>
    <row r="62" spans="1:7" x14ac:dyDescent="0.2">
      <c r="A62" s="24" t="s">
        <v>182</v>
      </c>
      <c r="B62" s="24">
        <v>21500</v>
      </c>
      <c r="C62" s="23"/>
      <c r="D62" s="23"/>
      <c r="E62" s="23"/>
      <c r="F62" s="23"/>
      <c r="G62" s="23"/>
    </row>
    <row r="63" spans="1:7" x14ac:dyDescent="0.2">
      <c r="A63" s="24" t="s">
        <v>183</v>
      </c>
      <c r="B63" s="24">
        <v>22400</v>
      </c>
      <c r="C63" s="23"/>
      <c r="D63" s="23"/>
      <c r="E63" s="23"/>
      <c r="F63" s="22"/>
      <c r="G63" s="22"/>
    </row>
    <row r="64" spans="1:7" x14ac:dyDescent="0.2">
      <c r="A64" s="24" t="s">
        <v>184</v>
      </c>
      <c r="B64" s="24">
        <v>23300</v>
      </c>
      <c r="C64" s="23"/>
      <c r="D64" s="23"/>
      <c r="E64" s="23"/>
      <c r="F64" s="22"/>
      <c r="G64" s="22"/>
    </row>
    <row r="65" spans="1:9" x14ac:dyDescent="0.2">
      <c r="A65" s="24" t="s">
        <v>185</v>
      </c>
      <c r="B65" s="24">
        <v>24200</v>
      </c>
      <c r="C65" s="23"/>
      <c r="D65" s="23"/>
      <c r="E65" s="23"/>
      <c r="F65" s="22"/>
      <c r="G65" s="22"/>
    </row>
    <row r="66" spans="1:9" x14ac:dyDescent="0.2">
      <c r="A66" s="24" t="s">
        <v>186</v>
      </c>
      <c r="B66" s="24">
        <v>25100</v>
      </c>
      <c r="C66" s="23"/>
      <c r="D66" s="23"/>
      <c r="E66" s="23"/>
      <c r="F66" s="23"/>
      <c r="G66" s="23"/>
    </row>
    <row r="67" spans="1:9" x14ac:dyDescent="0.2">
      <c r="A67" s="24" t="s">
        <v>187</v>
      </c>
      <c r="B67" s="24">
        <v>26100</v>
      </c>
      <c r="C67" s="23"/>
      <c r="D67" s="23"/>
      <c r="E67" s="23"/>
      <c r="F67" s="22"/>
      <c r="G67" s="22"/>
    </row>
    <row r="68" spans="1:9" x14ac:dyDescent="0.2">
      <c r="A68" s="24" t="s">
        <v>188</v>
      </c>
      <c r="B68" s="24">
        <v>27100</v>
      </c>
      <c r="C68" s="23"/>
      <c r="D68" s="23"/>
      <c r="E68" s="23"/>
      <c r="F68" s="22"/>
      <c r="G68" s="22"/>
    </row>
    <row r="69" spans="1:9" x14ac:dyDescent="0.2">
      <c r="A69" s="24" t="s">
        <v>189</v>
      </c>
      <c r="B69" s="24">
        <v>28300</v>
      </c>
      <c r="C69" s="23"/>
      <c r="D69" s="23"/>
      <c r="E69" s="23"/>
      <c r="F69" s="22"/>
      <c r="G69" s="22"/>
    </row>
    <row r="70" spans="1:9" x14ac:dyDescent="0.2">
      <c r="A70" s="24" t="s">
        <v>190</v>
      </c>
      <c r="B70" s="24">
        <v>29500</v>
      </c>
      <c r="C70" s="23"/>
      <c r="D70" s="23"/>
      <c r="E70" s="23"/>
      <c r="F70" s="23"/>
      <c r="G70" s="23"/>
    </row>
    <row r="71" spans="1:9" x14ac:dyDescent="0.2">
      <c r="A71" s="24" t="s">
        <v>191</v>
      </c>
      <c r="B71" s="24">
        <v>30700</v>
      </c>
      <c r="C71" s="23"/>
      <c r="D71" s="23"/>
      <c r="E71" s="23"/>
      <c r="F71" s="22"/>
      <c r="G71" s="22"/>
    </row>
    <row r="72" spans="1:9" x14ac:dyDescent="0.2">
      <c r="A72" s="24" t="s">
        <v>192</v>
      </c>
      <c r="B72" s="24">
        <v>31900</v>
      </c>
      <c r="C72" s="21"/>
      <c r="D72" s="21"/>
      <c r="E72" s="21"/>
      <c r="F72" s="21"/>
      <c r="G72" s="21"/>
      <c r="H72" s="21"/>
      <c r="I72" s="21"/>
    </row>
    <row r="73" spans="1:9" x14ac:dyDescent="0.2">
      <c r="A73" s="24" t="s">
        <v>193</v>
      </c>
      <c r="B73" s="24">
        <v>33100</v>
      </c>
      <c r="C73" s="21"/>
      <c r="D73" s="21"/>
      <c r="E73" s="21"/>
      <c r="F73" s="21"/>
      <c r="G73" s="21"/>
      <c r="H73" s="21"/>
      <c r="I73" s="21"/>
    </row>
    <row r="74" spans="1:9" x14ac:dyDescent="0.2">
      <c r="A74" s="24" t="s">
        <v>194</v>
      </c>
      <c r="B74" s="24">
        <v>34300</v>
      </c>
      <c r="C74" s="21"/>
      <c r="D74" s="21"/>
      <c r="E74" s="21"/>
      <c r="F74" s="21"/>
      <c r="G74" s="21"/>
      <c r="H74" s="21"/>
      <c r="I74" s="21"/>
    </row>
    <row r="75" spans="1:9" x14ac:dyDescent="0.2">
      <c r="A75" s="24" t="s">
        <v>195</v>
      </c>
      <c r="B75" s="24">
        <v>35500</v>
      </c>
      <c r="C75" s="21"/>
      <c r="D75" s="21"/>
      <c r="E75" s="21"/>
      <c r="F75" s="21"/>
      <c r="G75" s="21"/>
      <c r="H75" s="21"/>
      <c r="I75" s="21"/>
    </row>
    <row r="76" spans="1:9" x14ac:dyDescent="0.2">
      <c r="A76" s="24" t="s">
        <v>196</v>
      </c>
      <c r="B76" s="24">
        <v>36700</v>
      </c>
      <c r="C76" s="21"/>
      <c r="D76" s="21"/>
      <c r="E76" s="21"/>
      <c r="F76" s="21"/>
      <c r="G76" s="21"/>
      <c r="H76" s="21"/>
      <c r="I76" s="21"/>
    </row>
    <row r="77" spans="1:9" x14ac:dyDescent="0.2">
      <c r="A77" s="24" t="s">
        <v>197</v>
      </c>
      <c r="B77" s="24">
        <v>38700</v>
      </c>
      <c r="C77" s="21"/>
      <c r="D77" s="21"/>
      <c r="E77" s="21"/>
      <c r="F77" s="21"/>
      <c r="G77" s="21"/>
      <c r="H77" s="21"/>
      <c r="I77" s="21"/>
    </row>
    <row r="78" spans="1:9" x14ac:dyDescent="0.2">
      <c r="A78" s="24" t="s">
        <v>198</v>
      </c>
      <c r="B78" s="24">
        <v>40700</v>
      </c>
      <c r="C78" s="21"/>
      <c r="D78" s="21"/>
      <c r="E78" s="21"/>
      <c r="F78" s="21"/>
      <c r="G78" s="21"/>
      <c r="H78" s="21"/>
      <c r="I78" s="21"/>
    </row>
    <row r="79" spans="1:9" x14ac:dyDescent="0.2">
      <c r="A79" s="24" t="s">
        <v>199</v>
      </c>
      <c r="B79" s="24">
        <v>42700</v>
      </c>
      <c r="C79" s="21"/>
      <c r="D79" s="21"/>
      <c r="E79" s="21"/>
      <c r="F79" s="21"/>
      <c r="G79" s="21"/>
      <c r="H79" s="21"/>
      <c r="I79" s="21"/>
    </row>
    <row r="80" spans="1:9" x14ac:dyDescent="0.2">
      <c r="A80" s="24" t="s">
        <v>200</v>
      </c>
      <c r="B80" s="24">
        <v>44700</v>
      </c>
      <c r="C80" s="21"/>
      <c r="D80" s="21"/>
      <c r="E80" s="21"/>
      <c r="F80" s="21"/>
      <c r="G80" s="21"/>
      <c r="H80" s="21"/>
      <c r="I80" s="21"/>
    </row>
    <row r="81" spans="1:9" x14ac:dyDescent="0.2">
      <c r="A81" s="24" t="s">
        <v>201</v>
      </c>
      <c r="B81" s="24">
        <v>46700</v>
      </c>
      <c r="C81" s="21"/>
      <c r="D81" s="21"/>
      <c r="E81" s="21"/>
      <c r="F81" s="21"/>
      <c r="G81" s="21"/>
      <c r="H81" s="21"/>
      <c r="I81" s="21"/>
    </row>
    <row r="82" spans="1:9" x14ac:dyDescent="0.2">
      <c r="A82" s="24" t="s">
        <v>202</v>
      </c>
      <c r="B82" s="24">
        <v>48700</v>
      </c>
      <c r="C82" s="21"/>
      <c r="D82" s="21"/>
      <c r="E82" s="21"/>
      <c r="F82" s="21"/>
      <c r="G82" s="21"/>
      <c r="H82" s="21"/>
      <c r="I82" s="21"/>
    </row>
    <row r="83" spans="1:9" x14ac:dyDescent="0.2">
      <c r="A83" s="24" t="s">
        <v>203</v>
      </c>
      <c r="B83" s="24">
        <v>50700</v>
      </c>
      <c r="C83" s="21"/>
      <c r="D83" s="21"/>
      <c r="E83" s="21"/>
      <c r="F83" s="21"/>
      <c r="G83" s="21"/>
      <c r="H83" s="21"/>
      <c r="I83" s="21"/>
    </row>
    <row r="84" spans="1:9" x14ac:dyDescent="0.2">
      <c r="A84" s="24" t="s">
        <v>204</v>
      </c>
      <c r="B84" s="24">
        <v>52700</v>
      </c>
      <c r="C84" s="21"/>
      <c r="D84" s="21"/>
      <c r="E84" s="21"/>
      <c r="F84" s="21"/>
      <c r="G84" s="21"/>
      <c r="H84" s="21"/>
      <c r="I84" s="21"/>
    </row>
    <row r="85" spans="1:9" x14ac:dyDescent="0.2">
      <c r="A85" s="24" t="s">
        <v>205</v>
      </c>
      <c r="B85" s="24">
        <v>54700</v>
      </c>
      <c r="C85" s="21"/>
      <c r="D85" s="21"/>
      <c r="E85" s="21"/>
      <c r="F85" s="21"/>
      <c r="G85" s="21"/>
      <c r="H85" s="21"/>
      <c r="I85" s="21"/>
    </row>
    <row r="86" spans="1:9" x14ac:dyDescent="0.2">
      <c r="A86" s="24" t="s">
        <v>206</v>
      </c>
      <c r="B86" s="24">
        <v>56700</v>
      </c>
      <c r="C86" s="21"/>
    </row>
    <row r="87" spans="1:9" x14ac:dyDescent="0.2">
      <c r="A87" s="24" t="s">
        <v>207</v>
      </c>
      <c r="B87" s="24">
        <v>60200</v>
      </c>
      <c r="C87" s="21"/>
    </row>
    <row r="88" spans="1:9" x14ac:dyDescent="0.2">
      <c r="A88" s="24" t="s">
        <v>208</v>
      </c>
      <c r="B88" s="24">
        <v>63700</v>
      </c>
      <c r="C88" s="21"/>
    </row>
    <row r="89" spans="1:9" x14ac:dyDescent="0.2">
      <c r="A89" s="24" t="s">
        <v>209</v>
      </c>
      <c r="B89" s="24">
        <v>67200</v>
      </c>
      <c r="C89" s="21"/>
    </row>
    <row r="90" spans="1:9" x14ac:dyDescent="0.2">
      <c r="A90" s="24" t="s">
        <v>210</v>
      </c>
      <c r="B90" s="24">
        <v>70700</v>
      </c>
      <c r="C90" s="21"/>
    </row>
    <row r="91" spans="1:9" x14ac:dyDescent="0.2">
      <c r="A91" s="24" t="s">
        <v>211</v>
      </c>
      <c r="B91" s="24">
        <v>74200</v>
      </c>
      <c r="C91" s="21"/>
    </row>
    <row r="92" spans="1:9" x14ac:dyDescent="0.2">
      <c r="A92" s="24" t="s">
        <v>212</v>
      </c>
      <c r="B92" s="24">
        <v>77200</v>
      </c>
      <c r="C92" s="21"/>
    </row>
    <row r="93" spans="1:9" x14ac:dyDescent="0.2">
      <c r="A93" s="24" t="s">
        <v>213</v>
      </c>
      <c r="B93" s="24">
        <v>80200</v>
      </c>
      <c r="C93" s="21"/>
    </row>
    <row r="94" spans="1:9" x14ac:dyDescent="0.2">
      <c r="A94" s="24" t="s">
        <v>214</v>
      </c>
      <c r="B94" s="24">
        <v>83200</v>
      </c>
      <c r="C94" s="21"/>
    </row>
    <row r="95" spans="1:9" x14ac:dyDescent="0.2">
      <c r="A95" s="24" t="s">
        <v>215</v>
      </c>
      <c r="B95" s="24">
        <v>86200</v>
      </c>
      <c r="C95" s="21"/>
    </row>
    <row r="96" spans="1:9" x14ac:dyDescent="0.2">
      <c r="A96" s="24" t="s">
        <v>216</v>
      </c>
      <c r="B96" s="24">
        <v>89200</v>
      </c>
      <c r="C96" s="21"/>
    </row>
    <row r="97" spans="1:3" x14ac:dyDescent="0.2">
      <c r="A97" s="24" t="s">
        <v>217</v>
      </c>
      <c r="B97" s="24">
        <v>92200</v>
      </c>
      <c r="C97" s="21"/>
    </row>
    <row r="98" spans="1:3" x14ac:dyDescent="0.2">
      <c r="A98" s="24" t="s">
        <v>218</v>
      </c>
      <c r="B98" s="24">
        <v>95200</v>
      </c>
      <c r="C98" s="21"/>
    </row>
    <row r="99" spans="1:3" x14ac:dyDescent="0.2">
      <c r="A99" s="24" t="s">
        <v>219</v>
      </c>
      <c r="B99" s="24">
        <v>98200</v>
      </c>
      <c r="C99" s="21"/>
    </row>
    <row r="100" spans="1:3" x14ac:dyDescent="0.2">
      <c r="A100" s="24" t="s">
        <v>220</v>
      </c>
      <c r="B100" s="24">
        <v>101200</v>
      </c>
      <c r="C100" s="21"/>
    </row>
    <row r="101" spans="1:3" x14ac:dyDescent="0.2">
      <c r="A101" s="21"/>
      <c r="B101" s="21"/>
      <c r="C101" s="21"/>
    </row>
    <row r="102" spans="1:3" x14ac:dyDescent="0.2">
      <c r="A102" s="21"/>
      <c r="B102" s="21"/>
      <c r="C102" s="21"/>
    </row>
    <row r="103" spans="1:3" x14ac:dyDescent="0.2">
      <c r="A103" s="21"/>
      <c r="B103" s="21"/>
      <c r="C103" s="21"/>
    </row>
    <row r="104" spans="1:3" x14ac:dyDescent="0.2">
      <c r="A104" s="21"/>
      <c r="B104" s="21"/>
      <c r="C104" s="21"/>
    </row>
    <row r="105" spans="1:3" x14ac:dyDescent="0.2">
      <c r="A105" s="21"/>
      <c r="B105" s="21"/>
      <c r="C105" s="2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抽卡模拟器</vt:lpstr>
      <vt:lpstr>抽卡期望与商业化模型</vt:lpstr>
      <vt:lpstr>商业化深度与定价拆解</vt:lpstr>
      <vt:lpstr>养成总盘计算</vt:lpstr>
      <vt:lpstr>密探养成基础数据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晓菲 宋</dc:creator>
  <cp:lastModifiedBy>晓菲 宋</cp:lastModifiedBy>
  <dcterms:created xsi:type="dcterms:W3CDTF">2026-03-11T01:51:34Z</dcterms:created>
  <dcterms:modified xsi:type="dcterms:W3CDTF">2026-03-11T15:07:45Z</dcterms:modified>
</cp:coreProperties>
</file>